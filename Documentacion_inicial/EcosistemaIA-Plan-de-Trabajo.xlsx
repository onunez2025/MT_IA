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500" firstSheet="0" activeTab="0" autoFilterDateGrouping="1"/>
  </bookViews>
  <sheets>
    <sheet xmlns:r="http://schemas.openxmlformats.org/officeDocument/2006/relationships" name="Cronograma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Gantt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DD/MM/YYYY"/>
  </numFmts>
  <fonts count="31">
    <font>
      <name val="Calibri"/>
      <charset val="1"/>
      <family val="2"/>
      <color theme="1"/>
      <sz val="11"/>
    </font>
    <font>
      <name val="Arial"/>
      <charset val="1"/>
      <b val="1"/>
      <color rgb="FF171B21"/>
      <sz val="13"/>
    </font>
    <font>
      <name val="Arial"/>
      <charset val="1"/>
      <b val="1"/>
      <color rgb="FFFFFFFF"/>
      <sz val="10.5"/>
    </font>
    <font>
      <name val="Arial"/>
      <charset val="1"/>
      <sz val="10"/>
    </font>
    <font>
      <name val="Arial"/>
      <charset val="1"/>
      <b val="1"/>
      <color rgb="FF4CAF7D"/>
      <sz val="9.5"/>
    </font>
    <font>
      <name val="Arial"/>
      <charset val="1"/>
      <sz val="9"/>
    </font>
    <font>
      <name val="Arial"/>
      <charset val="1"/>
      <color rgb="FF0000FF"/>
      <sz val="9"/>
    </font>
    <font>
      <name val="Arial"/>
      <charset val="1"/>
      <b val="1"/>
      <color rgb="FF3B82F6"/>
      <sz val="9.5"/>
    </font>
    <font>
      <name val="Arial"/>
      <charset val="1"/>
      <b val="1"/>
      <color rgb="FFE8871E"/>
      <sz val="9.5"/>
    </font>
    <font>
      <name val="Arial"/>
      <charset val="1"/>
      <b val="1"/>
      <color rgb="FF4FB0A5"/>
      <sz val="9.5"/>
    </font>
    <font>
      <name val="Arial"/>
      <charset val="1"/>
      <b val="1"/>
      <color rgb="FFD9564A"/>
      <sz val="9.5"/>
    </font>
    <font>
      <name val="Arial"/>
      <charset val="1"/>
      <b val="1"/>
      <color rgb="FF8890A0"/>
      <sz val="9.5"/>
    </font>
    <font>
      <name val="Arial"/>
      <charset val="1"/>
      <b val="1"/>
      <sz val="11"/>
    </font>
    <font>
      <name val="Arial"/>
      <charset val="1"/>
      <b val="1"/>
      <sz val="10"/>
    </font>
    <font>
      <name val="Arial"/>
      <charset val="1"/>
      <i val="1"/>
      <sz val="9.5"/>
    </font>
    <font>
      <name val="Arial"/>
      <charset val="1"/>
      <color rgb="FF666666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4CAF7D"/>
      <sz val="8.5"/>
    </font>
    <font>
      <name val="Arial"/>
      <charset val="1"/>
      <sz val="8"/>
    </font>
    <font>
      <name val="Arial"/>
      <charset val="1"/>
      <color rgb="FFFFFFFF"/>
      <sz val="5"/>
    </font>
    <font>
      <name val="Arial"/>
      <charset val="1"/>
      <b val="1"/>
      <color rgb="FF3B82F6"/>
      <sz val="8.5"/>
    </font>
    <font>
      <name val="Arial"/>
      <charset val="1"/>
      <b val="1"/>
      <color rgb="FFE8871E"/>
      <sz val="8.5"/>
    </font>
    <font>
      <name val="Arial"/>
      <charset val="1"/>
      <b val="1"/>
      <color rgb="FF4FB0A5"/>
      <sz val="8.5"/>
    </font>
    <font>
      <name val="Arial"/>
      <charset val="1"/>
      <b val="1"/>
      <color rgb="FFD9564A"/>
      <sz val="8.5"/>
    </font>
    <font>
      <name val="Arial"/>
      <charset val="1"/>
      <b val="1"/>
      <color rgb="FF8890A0"/>
      <sz val="8.5"/>
    </font>
    <font>
      <name val="Arial"/>
      <charset val="1"/>
      <b val="1"/>
      <color rgb="FF000000"/>
      <sz val="8.5"/>
    </font>
    <font>
      <name val="Arial"/>
      <family val="2"/>
      <b val="1"/>
      <color rgb="FF000000"/>
      <sz val="9"/>
    </font>
    <font>
      <name val="Calibri"/>
      <family val="2"/>
      <b val="1"/>
      <color rgb="FF000000"/>
      <sz val="11"/>
    </font>
    <font>
      <name val="Calibri"/>
      <color rgb="00276221"/>
      <sz val="11"/>
    </font>
    <font>
      <name val="Calibri"/>
      <color rgb="009C5700"/>
      <sz val="11"/>
    </font>
  </fonts>
  <fills count="16">
    <fill>
      <patternFill/>
    </fill>
    <fill>
      <patternFill patternType="gray125"/>
    </fill>
    <fill>
      <patternFill patternType="solid">
        <fgColor rgb="FF171B21"/>
        <bgColor rgb="FF003300"/>
      </patternFill>
    </fill>
    <fill>
      <patternFill patternType="solid">
        <fgColor rgb="FFFFF3D6"/>
        <bgColor rgb="FFFFE8E8"/>
      </patternFill>
    </fill>
    <fill>
      <patternFill patternType="solid">
        <fgColor rgb="FFE8F4F8"/>
        <bgColor rgb="FFFFFFFF"/>
      </patternFill>
    </fill>
    <fill>
      <patternFill patternType="solid">
        <fgColor rgb="FFFFE8E8"/>
        <bgColor rgb="FFFFF3D6"/>
      </patternFill>
    </fill>
    <fill>
      <patternFill patternType="solid">
        <fgColor rgb="FFD9564A"/>
        <bgColor rgb="FFE8871E"/>
      </patternFill>
    </fill>
    <fill>
      <patternFill patternType="solid">
        <fgColor rgb="FFE8871E"/>
        <bgColor rgb="FFFF8080"/>
      </patternFill>
    </fill>
    <fill>
      <patternFill patternType="solid">
        <fgColor rgb="FF4CAF7D"/>
        <bgColor rgb="FF4FB0A5"/>
      </patternFill>
    </fill>
    <fill>
      <patternFill patternType="solid">
        <fgColor rgb="FF3B82F6"/>
        <bgColor rgb="FF0066CC"/>
      </patternFill>
    </fill>
    <fill>
      <patternFill patternType="solid">
        <fgColor rgb="FF4FB0A5"/>
        <bgColor rgb="FF4CAF7D"/>
      </patternFill>
    </fill>
    <fill>
      <patternFill patternType="solid">
        <fgColor rgb="FF8890A0"/>
        <bgColor rgb="FF80808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E8E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2" fillId="5" borderId="0" pivotButton="0" quotePrefix="0" xfId="0"/>
    <xf numFmtId="0" fontId="12" fillId="4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0" borderId="1" pivotButton="0" quotePrefix="0" xfId="0"/>
    <xf numFmtId="14" fontId="6" fillId="0" borderId="1" pivotButton="0" quotePrefix="0" xfId="0"/>
    <xf numFmtId="0" fontId="5" fillId="0" borderId="1" applyAlignment="1" pivotButton="0" quotePrefix="0" xfId="0">
      <alignment horizontal="center"/>
    </xf>
    <xf numFmtId="9" fontId="0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13" fillId="0" borderId="1" pivotButton="0" quotePrefix="0" xfId="0"/>
    <xf numFmtId="0" fontId="14" fillId="0" borderId="1" pivotButton="0" quotePrefix="0" xfId="0"/>
    <xf numFmtId="0" fontId="15" fillId="0" borderId="1" applyAlignment="1" pivotButton="0" quotePrefix="0" xfId="0">
      <alignment wrapText="1"/>
    </xf>
    <xf numFmtId="0" fontId="16" fillId="6" borderId="1" applyAlignment="1" pivotButton="0" quotePrefix="0" xfId="0">
      <alignment horizontal="center"/>
    </xf>
    <xf numFmtId="0" fontId="16" fillId="7" borderId="1" applyAlignment="1" pivotButton="0" quotePrefix="0" xfId="0">
      <alignment horizontal="center"/>
    </xf>
    <xf numFmtId="0" fontId="17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 textRotation="90"/>
    </xf>
    <xf numFmtId="0" fontId="18" fillId="0" borderId="1" pivotButton="0" quotePrefix="0" xfId="0"/>
    <xf numFmtId="0" fontId="19" fillId="0" borderId="1" applyAlignment="1" pivotButton="0" quotePrefix="0" xfId="0">
      <alignment vertical="center" wrapText="1"/>
    </xf>
    <xf numFmtId="0" fontId="19" fillId="0" borderId="1" pivotButton="0" quotePrefix="0" xfId="0"/>
    <xf numFmtId="164" fontId="20" fillId="8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0" fontId="21" fillId="0" borderId="1" pivotButton="0" quotePrefix="0" xfId="0"/>
    <xf numFmtId="164" fontId="20" fillId="9" borderId="0" applyAlignment="1" pivotButton="0" quotePrefix="0" xfId="0">
      <alignment horizontal="center" vertical="center"/>
    </xf>
    <xf numFmtId="0" fontId="22" fillId="0" borderId="1" pivotButton="0" quotePrefix="0" xfId="0"/>
    <xf numFmtId="164" fontId="20" fillId="7" borderId="0" applyAlignment="1" pivotButton="0" quotePrefix="0" xfId="0">
      <alignment horizontal="center" vertical="center"/>
    </xf>
    <xf numFmtId="0" fontId="23" fillId="0" borderId="1" pivotButton="0" quotePrefix="0" xfId="0"/>
    <xf numFmtId="164" fontId="20" fillId="10" borderId="0" applyAlignment="1" pivotButton="0" quotePrefix="0" xfId="0">
      <alignment horizontal="center" vertical="center"/>
    </xf>
    <xf numFmtId="0" fontId="24" fillId="0" borderId="1" pivotButton="0" quotePrefix="0" xfId="0"/>
    <xf numFmtId="164" fontId="20" fillId="6" borderId="0" applyAlignment="1" pivotButton="0" quotePrefix="0" xfId="0">
      <alignment horizontal="center" vertical="center"/>
    </xf>
    <xf numFmtId="0" fontId="25" fillId="0" borderId="1" pivotButton="0" quotePrefix="0" xfId="0"/>
    <xf numFmtId="164" fontId="20" fillId="11" borderId="0" applyAlignment="1" pivotButton="0" quotePrefix="0" xfId="0">
      <alignment horizontal="center" vertical="center"/>
    </xf>
    <xf numFmtId="0" fontId="26" fillId="0" borderId="1" pivotButton="0" quotePrefix="0" xfId="0"/>
    <xf numFmtId="0" fontId="27" fillId="12" borderId="1" applyAlignment="1" pivotButton="0" quotePrefix="0" xfId="0">
      <alignment horizontal="center"/>
    </xf>
    <xf numFmtId="9" fontId="28" fillId="13" borderId="1" pivotButton="0" quotePrefix="0" xfId="0"/>
    <xf numFmtId="0" fontId="0" fillId="14" borderId="0" pivotButton="0" quotePrefix="0" xfId="0"/>
    <xf numFmtId="166" fontId="0" fillId="14" borderId="0" pivotButton="0" quotePrefix="0" xfId="0"/>
    <xf numFmtId="0" fontId="29" fillId="14" borderId="0" pivotButton="0" quotePrefix="0" xfId="0"/>
    <xf numFmtId="9" fontId="29" fillId="14" borderId="0" pivotButton="0" quotePrefix="0" xfId="0"/>
    <xf numFmtId="0" fontId="0" fillId="15" borderId="0" pivotButton="0" quotePrefix="0" xfId="0"/>
    <xf numFmtId="166" fontId="0" fillId="15" borderId="0" pivotButton="0" quotePrefix="0" xfId="0"/>
    <xf numFmtId="0" fontId="30" fillId="15" borderId="0" pivotButton="0" quotePrefix="0" xfId="0"/>
    <xf numFmtId="9" fontId="30" fillId="15" borderId="0" pivotButton="0" quotePrefix="0" xfId="0"/>
  </cellXfs>
  <cellStyles count="1">
    <cellStyle name="Normal" xfId="0" builtinId="0"/>
  </cellStyles>
  <dxfs count="7">
    <dxf>
      <fill>
        <patternFill>
          <bgColor rgb="FFCCCCCC"/>
        </patternFill>
      </fill>
    </dxf>
    <dxf>
      <fill>
        <patternFill>
          <bgColor rgb="FF8890A0"/>
        </patternFill>
      </fill>
    </dxf>
    <dxf>
      <fill>
        <patternFill>
          <bgColor rgb="FFD9564A"/>
        </patternFill>
      </fill>
    </dxf>
    <dxf>
      <fill>
        <patternFill>
          <bgColor rgb="FF4FB0A5"/>
        </patternFill>
      </fill>
    </dxf>
    <dxf>
      <fill>
        <patternFill>
          <bgColor rgb="FFE8871E"/>
        </patternFill>
      </fill>
    </dxf>
    <dxf>
      <fill>
        <patternFill>
          <bgColor rgb="FF3B82F6"/>
        </patternFill>
      </fill>
    </dxf>
    <dxf>
      <fill>
        <patternFill>
          <bgColor rgb="FF4CAF7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6"/>
      <rgbColor rgb="FFE8F4F8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E8"/>
      <rgbColor rgb="FF99CCFF"/>
      <rgbColor rgb="FFFF99CC"/>
      <rgbColor rgb="FFCC99FF"/>
      <rgbColor rgb="FFFFCC99"/>
      <rgbColor rgb="FF3B82F6"/>
      <rgbColor rgb="FF4FB0A5"/>
      <rgbColor rgb="FF99CC00"/>
      <rgbColor rgb="FFFFCC00"/>
      <rgbColor rgb="FFE8871E"/>
      <rgbColor rgb="FFD9564A"/>
      <rgbColor rgb="FF666666"/>
      <rgbColor rgb="FF8890A0"/>
      <rgbColor rgb="FF003366"/>
      <rgbColor rgb="FF4CAF7D"/>
      <rgbColor rgb="FF003300"/>
      <rgbColor rgb="FF333300"/>
      <rgbColor rgb="FF993300"/>
      <rgbColor rgb="FF993366"/>
      <rgbColor rgb="FF333399"/>
      <rgbColor rgb="FF171B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tabSelected="1" zoomScaleNormal="100" workbookViewId="0">
      <pane ySplit="3" topLeftCell="A4" activePane="bottomLeft" state="frozen"/>
      <selection pane="bottomLeft" activeCell="A1" sqref="A1:J1"/>
    </sheetView>
  </sheetViews>
  <sheetFormatPr baseColWidth="10" defaultColWidth="8.7109375" defaultRowHeight="15"/>
  <cols>
    <col width="5" customWidth="1" min="1" max="1"/>
    <col width="10" customWidth="1" min="2" max="2"/>
    <col width="42" customWidth="1" min="3" max="3"/>
    <col width="16" customWidth="1" min="4" max="5"/>
    <col width="12" customWidth="1" min="6" max="7"/>
    <col width="13" customWidth="1" min="8" max="8"/>
    <col width="11" customWidth="1" min="9" max="10"/>
  </cols>
  <sheetData>
    <row r="1" ht="15.75" customHeight="1">
      <c r="A1" s="3" t="inlineStr">
        <is>
          <t>EcosistemaIA — Plan de Trabajo (Piloto Ventas hasta 15/02/2027 + RBAC ampliado)</t>
        </is>
      </c>
    </row>
    <row r="3" ht="27.75" customHeight="1">
      <c r="A3" s="4" t="inlineStr">
        <is>
          <t>ID</t>
        </is>
      </c>
      <c r="B3" s="4" t="inlineStr">
        <is>
          <t>Fase</t>
        </is>
      </c>
      <c r="C3" s="4" t="inlineStr">
        <is>
          <t>Tarea</t>
        </is>
      </c>
      <c r="D3" s="4" t="inlineStr">
        <is>
          <t>Responsable</t>
        </is>
      </c>
      <c r="E3" s="4" t="inlineStr">
        <is>
          <t>Área</t>
        </is>
      </c>
      <c r="F3" s="4" t="inlineStr">
        <is>
          <t>Inicio</t>
        </is>
      </c>
      <c r="G3" s="4" t="inlineStr">
        <is>
          <t>Fin</t>
        </is>
      </c>
      <c r="H3" s="4" t="inlineStr">
        <is>
          <t>Duración (días)</t>
        </is>
      </c>
      <c r="I3" s="4" t="inlineStr">
        <is>
          <t>Estado</t>
        </is>
      </c>
      <c r="J3" s="4" t="inlineStr">
        <is>
          <t>% Avance</t>
        </is>
      </c>
    </row>
    <row r="4" ht="15" customHeight="1">
      <c r="A4" s="5" t="n">
        <v>1</v>
      </c>
      <c r="B4" s="6" t="inlineStr">
        <is>
          <t>Fase 0</t>
        </is>
      </c>
      <c r="C4" s="7" t="inlineStr">
        <is>
          <t>Aprobación de alcance (Fase 0)</t>
        </is>
      </c>
      <c r="D4" s="8" t="inlineStr">
        <is>
          <t>Manuel / Oscar</t>
        </is>
      </c>
      <c r="E4" s="8" t="inlineStr">
        <is>
          <t>Ejecutiva</t>
        </is>
      </c>
      <c r="F4" s="9" t="n">
        <v>46258</v>
      </c>
      <c r="G4" s="9" t="n">
        <v>46262</v>
      </c>
      <c r="H4" s="10">
        <f>G4-F4+1</f>
        <v/>
      </c>
      <c r="I4" s="10" t="inlineStr">
        <is>
          <t>Pendiente</t>
        </is>
      </c>
      <c r="J4" s="11" t="n">
        <v>0</v>
      </c>
    </row>
    <row r="5" ht="15" customHeight="1">
      <c r="A5" s="5" t="n">
        <v>2</v>
      </c>
      <c r="B5" s="6" t="inlineStr">
        <is>
          <t>Fase 0</t>
        </is>
      </c>
      <c r="C5" s="7" t="inlineStr">
        <is>
          <t>Aprobación de presupuesto CAPEX</t>
        </is>
      </c>
      <c r="D5" s="8" t="inlineStr">
        <is>
          <t>Finanzas / Manuel</t>
        </is>
      </c>
      <c r="E5" s="8" t="inlineStr">
        <is>
          <t>Ejecutiva</t>
        </is>
      </c>
      <c r="F5" s="9" t="n">
        <v>46258</v>
      </c>
      <c r="G5" s="9" t="n">
        <v>46262</v>
      </c>
      <c r="H5" s="10">
        <f>G5-F5+1</f>
        <v/>
      </c>
      <c r="I5" s="10" t="inlineStr">
        <is>
          <t>Pendiente</t>
        </is>
      </c>
      <c r="J5" s="11" t="n">
        <v>0</v>
      </c>
    </row>
    <row r="6" ht="15" customHeight="1">
      <c r="A6" s="5" t="n">
        <v>3</v>
      </c>
      <c r="B6" s="6" t="inlineStr">
        <is>
          <t>Fase 0</t>
        </is>
      </c>
      <c r="C6" s="7" t="inlineStr">
        <is>
          <t>Definir responsable técnico (Héctor / recurso)</t>
        </is>
      </c>
      <c r="D6" s="8" t="inlineStr">
        <is>
          <t>Manuel</t>
        </is>
      </c>
      <c r="E6" s="8" t="inlineStr">
        <is>
          <t>TI</t>
        </is>
      </c>
      <c r="F6" s="9" t="n">
        <v>46258</v>
      </c>
      <c r="G6" s="9" t="n">
        <v>46262</v>
      </c>
      <c r="H6" s="10">
        <f>G6-F6+1</f>
        <v/>
      </c>
      <c r="I6" s="10" t="inlineStr">
        <is>
          <t>Pendiente</t>
        </is>
      </c>
      <c r="J6" s="11" t="n">
        <v>0</v>
      </c>
    </row>
    <row r="7" ht="15" customHeight="1">
      <c r="A7" s="5" t="n">
        <v>4</v>
      </c>
      <c r="B7" s="6" t="inlineStr">
        <is>
          <t>Fase 0</t>
        </is>
      </c>
      <c r="C7" s="7" t="inlineStr">
        <is>
          <t>Acceso a APIs SAP C4C y SAP FSM</t>
        </is>
      </c>
      <c r="D7" s="8" t="inlineStr">
        <is>
          <t>TI</t>
        </is>
      </c>
      <c r="E7" s="8" t="inlineStr">
        <is>
          <t>TI</t>
        </is>
      </c>
      <c r="F7" s="9" t="n">
        <v>46265</v>
      </c>
      <c r="G7" s="9" t="n">
        <v>46276</v>
      </c>
      <c r="H7" s="10">
        <f>G7-F7+1</f>
        <v/>
      </c>
      <c r="I7" s="10" t="inlineStr">
        <is>
          <t>Pendiente</t>
        </is>
      </c>
      <c r="J7" s="11" t="n">
        <v>0</v>
      </c>
    </row>
    <row r="8" ht="15" customHeight="1">
      <c r="A8" s="5" t="n">
        <v>5</v>
      </c>
      <c r="B8" s="6" t="inlineStr">
        <is>
          <t>Fase 0</t>
        </is>
      </c>
      <c r="C8" s="7" t="inlineStr">
        <is>
          <t>Catálogo de preguntas del piloto - Ventas</t>
        </is>
      </c>
      <c r="D8" s="8" t="inlineStr">
        <is>
          <t>Oscar / Ventas</t>
        </is>
      </c>
      <c r="E8" s="8" t="inlineStr">
        <is>
          <t>Ventas</t>
        </is>
      </c>
      <c r="F8" s="9" t="n">
        <v>46265</v>
      </c>
      <c r="G8" s="9" t="n">
        <v>46269</v>
      </c>
      <c r="H8" s="10">
        <f>G8-F8+1</f>
        <v/>
      </c>
      <c r="I8" s="43" t="inlineStr">
        <is>
          <t>Completado</t>
        </is>
      </c>
      <c r="J8" s="44" t="n">
        <v>1</v>
      </c>
    </row>
    <row r="9" ht="15" customHeight="1">
      <c r="A9" s="5" t="n">
        <v>6</v>
      </c>
      <c r="B9" s="6" t="inlineStr">
        <is>
          <t>Fase 0</t>
        </is>
      </c>
      <c r="C9" s="7" t="inlineStr">
        <is>
          <t>Diseño de capa de permisos (RBAC piloto)</t>
        </is>
      </c>
      <c r="D9" s="8" t="inlineStr">
        <is>
          <t>TI</t>
        </is>
      </c>
      <c r="E9" s="8" t="inlineStr">
        <is>
          <t>TI</t>
        </is>
      </c>
      <c r="F9" s="9" t="n">
        <v>46265</v>
      </c>
      <c r="G9" s="9" t="n">
        <v>46276</v>
      </c>
      <c r="H9" s="10">
        <f>G9-F9+1</f>
        <v/>
      </c>
      <c r="I9" s="43" t="inlineStr">
        <is>
          <t>Completado</t>
        </is>
      </c>
      <c r="J9" s="44" t="n">
        <v>1</v>
      </c>
    </row>
    <row r="10" ht="15" customHeight="1">
      <c r="A10" s="5" t="n">
        <v>7</v>
      </c>
      <c r="B10" s="6" t="inlineStr">
        <is>
          <t>Fase 0</t>
        </is>
      </c>
      <c r="C10" s="7" t="inlineStr">
        <is>
          <t>Desarrollo del orquestador (prototipo)</t>
        </is>
      </c>
      <c r="D10" s="8" t="inlineStr">
        <is>
          <t>Oscar</t>
        </is>
      </c>
      <c r="E10" s="8" t="inlineStr">
        <is>
          <t>TI</t>
        </is>
      </c>
      <c r="F10" s="9" t="n">
        <v>46279</v>
      </c>
      <c r="G10" s="9" t="n">
        <v>46297</v>
      </c>
      <c r="H10" s="10">
        <f>G10-F10+1</f>
        <v/>
      </c>
      <c r="I10" s="43" t="inlineStr">
        <is>
          <t>Completado</t>
        </is>
      </c>
      <c r="J10" s="44" t="n">
        <v>1</v>
      </c>
    </row>
    <row r="11" ht="15" customHeight="1">
      <c r="A11" s="5" t="n">
        <v>8</v>
      </c>
      <c r="B11" s="6" t="inlineStr">
        <is>
          <t>Fase 0</t>
        </is>
      </c>
      <c r="C11" s="7" t="inlineStr">
        <is>
          <t>Integración con SQL central</t>
        </is>
      </c>
      <c r="D11" s="8" t="inlineStr">
        <is>
          <t>Oscar</t>
        </is>
      </c>
      <c r="E11" s="8" t="inlineStr">
        <is>
          <t>TI</t>
        </is>
      </c>
      <c r="F11" s="9" t="n">
        <v>46279</v>
      </c>
      <c r="G11" s="9" t="n">
        <v>46290</v>
      </c>
      <c r="H11" s="10">
        <f>G11-F11+1</f>
        <v/>
      </c>
      <c r="I11" s="43" t="inlineStr">
        <is>
          <t>Completado</t>
        </is>
      </c>
      <c r="J11" s="44" t="n">
        <v>1</v>
      </c>
    </row>
    <row r="12" ht="15" customHeight="1">
      <c r="A12" s="5" t="n">
        <v>9</v>
      </c>
      <c r="B12" s="6" t="inlineStr">
        <is>
          <t>Fase 0</t>
        </is>
      </c>
      <c r="C12" s="7" t="inlineStr">
        <is>
          <t>Testing y ajuste de prompts</t>
        </is>
      </c>
      <c r="D12" s="8" t="inlineStr">
        <is>
          <t>Oscar</t>
        </is>
      </c>
      <c r="E12" s="8" t="inlineStr">
        <is>
          <t>TI</t>
        </is>
      </c>
      <c r="F12" s="9" t="n">
        <v>46300</v>
      </c>
      <c r="G12" s="9" t="n">
        <v>46311</v>
      </c>
      <c r="H12" s="10">
        <f>G12-F12+1</f>
        <v/>
      </c>
      <c r="I12" s="43" t="inlineStr">
        <is>
          <t>Completado</t>
        </is>
      </c>
      <c r="J12" s="44" t="n">
        <v>1</v>
      </c>
    </row>
    <row r="13" ht="15" customHeight="1">
      <c r="A13" s="5" t="n">
        <v>10</v>
      </c>
      <c r="B13" s="6" t="inlineStr">
        <is>
          <t>Fase 0</t>
        </is>
      </c>
      <c r="C13" s="7" t="inlineStr">
        <is>
          <t>Medición de consumo real de tokens</t>
        </is>
      </c>
      <c r="D13" s="8" t="inlineStr">
        <is>
          <t>TI</t>
        </is>
      </c>
      <c r="E13" s="8" t="inlineStr">
        <is>
          <t>TI</t>
        </is>
      </c>
      <c r="F13" s="9" t="n">
        <v>46307</v>
      </c>
      <c r="G13" s="9" t="n">
        <v>46311</v>
      </c>
      <c r="H13" s="10">
        <f>G13-F13+1</f>
        <v/>
      </c>
      <c r="I13" s="10" t="inlineStr">
        <is>
          <t>Pendiente</t>
        </is>
      </c>
      <c r="J13" s="11" t="n">
        <v>0</v>
      </c>
    </row>
    <row r="14" ht="15" customHeight="1">
      <c r="A14" s="5" t="n">
        <v>11</v>
      </c>
      <c r="B14" s="6" t="inlineStr">
        <is>
          <t>Fase 0</t>
        </is>
      </c>
      <c r="C14" s="7" t="inlineStr">
        <is>
          <t>Ajuste de OPEX con datos reales</t>
        </is>
      </c>
      <c r="D14" s="8" t="inlineStr">
        <is>
          <t>Oscar</t>
        </is>
      </c>
      <c r="E14" s="8" t="inlineStr">
        <is>
          <t>Oscar</t>
        </is>
      </c>
      <c r="F14" s="9" t="n">
        <v>46314</v>
      </c>
      <c r="G14" s="9" t="n">
        <v>46318</v>
      </c>
      <c r="H14" s="10">
        <f>G14-F14+1</f>
        <v/>
      </c>
      <c r="I14" s="10" t="inlineStr">
        <is>
          <t>Pendiente</t>
        </is>
      </c>
      <c r="J14" s="11" t="n">
        <v>0</v>
      </c>
    </row>
    <row r="15" ht="15" customHeight="1">
      <c r="A15" s="5" t="n">
        <v>12</v>
      </c>
      <c r="B15" s="6" t="inlineStr">
        <is>
          <t>Fase 0</t>
        </is>
      </c>
      <c r="C15" s="7" t="inlineStr">
        <is>
          <t>Piloto en producción - Ventas</t>
        </is>
      </c>
      <c r="D15" s="8" t="inlineStr">
        <is>
          <t>Ventas / TI</t>
        </is>
      </c>
      <c r="E15" s="8" t="inlineStr">
        <is>
          <t>Ventas</t>
        </is>
      </c>
      <c r="F15" s="9" t="n">
        <v>46314</v>
      </c>
      <c r="G15" s="9" t="n">
        <v>46433</v>
      </c>
      <c r="H15" s="10">
        <f>G15-F15+1</f>
        <v/>
      </c>
      <c r="I15" s="10" t="inlineStr">
        <is>
          <t>Pendiente</t>
        </is>
      </c>
      <c r="J15" s="11" t="n">
        <v>0</v>
      </c>
    </row>
    <row r="16" ht="15" customHeight="1">
      <c r="A16" s="5" t="n">
        <v>13</v>
      </c>
      <c r="B16" s="6" t="inlineStr">
        <is>
          <t>Fase 0</t>
        </is>
      </c>
      <c r="C16" s="7" t="inlineStr">
        <is>
          <t>Evaluación de resultados piloto Ventas</t>
        </is>
      </c>
      <c r="D16" s="8" t="inlineStr">
        <is>
          <t>Oscar / Manuel</t>
        </is>
      </c>
      <c r="E16" s="8" t="inlineStr">
        <is>
          <t>Oscar</t>
        </is>
      </c>
      <c r="F16" s="9" t="n">
        <v>46440</v>
      </c>
      <c r="G16" s="9" t="n">
        <v>46444</v>
      </c>
      <c r="H16" s="10">
        <f>G16-F16+1</f>
        <v/>
      </c>
      <c r="I16" s="10" t="inlineStr">
        <is>
          <t>Pendiente</t>
        </is>
      </c>
      <c r="J16" s="11" t="n">
        <v>0</v>
      </c>
    </row>
    <row r="17" ht="15" customHeight="1">
      <c r="A17" s="45" t="inlineStr">
        <is>
          <t>5b</t>
        </is>
      </c>
      <c r="B17" s="45" t="inlineStr">
        <is>
          <t>Fase 0</t>
        </is>
      </c>
      <c r="C17" s="45" t="inlineStr">
        <is>
          <t>7 herramientas analíticas Fase 0+ (gap, inactivos, canal, tendencia, nuevos clientes, margen, reporte)</t>
        </is>
      </c>
      <c r="D17" s="45" t="inlineStr">
        <is>
          <t>Oscar</t>
        </is>
      </c>
      <c r="E17" s="45" t="inlineStr">
        <is>
          <t>TI</t>
        </is>
      </c>
      <c r="F17" s="46" t="n">
        <v>46252</v>
      </c>
      <c r="G17" s="46" t="n">
        <v>46253</v>
      </c>
      <c r="H17" s="45">
        <f>G17-F17+1</f>
        <v/>
      </c>
      <c r="I17" s="47" t="inlineStr">
        <is>
          <t>Completado</t>
        </is>
      </c>
      <c r="J17" s="48" t="n">
        <v>1</v>
      </c>
    </row>
    <row r="18" ht="15" customHeight="1">
      <c r="A18" s="45" t="inlineStr">
        <is>
          <t>5c</t>
        </is>
      </c>
      <c r="B18" s="45" t="inlineStr">
        <is>
          <t>Fase 0</t>
        </is>
      </c>
      <c r="C18" s="45" t="inlineStr">
        <is>
          <t>Fix: mes incompleto excluido en tendencia y forecast; RBAC verificado; test con roles reales</t>
        </is>
      </c>
      <c r="D18" s="45" t="inlineStr">
        <is>
          <t>Oscar</t>
        </is>
      </c>
      <c r="E18" s="45" t="inlineStr">
        <is>
          <t>TI</t>
        </is>
      </c>
      <c r="F18" s="46" t="n">
        <v>46253</v>
      </c>
      <c r="G18" s="46" t="n">
        <v>46253</v>
      </c>
      <c r="H18" s="45">
        <f>G18-F18+1</f>
        <v/>
      </c>
      <c r="I18" s="47" t="inlineStr">
        <is>
          <t>Completado</t>
        </is>
      </c>
      <c r="J18" s="48" t="n">
        <v>1</v>
      </c>
    </row>
    <row r="19" ht="15" customHeight="1">
      <c r="A19" s="49" t="inlineStr">
        <is>
          <t>5d</t>
        </is>
      </c>
      <c r="B19" s="49" t="inlineStr">
        <is>
          <t>Fase 0</t>
        </is>
      </c>
      <c r="C19" s="49" t="inlineStr">
        <is>
          <t>Deploy Azure Container Apps (pendiente credenciales del coordinador funcional)</t>
        </is>
      </c>
      <c r="D19" s="49" t="inlineStr">
        <is>
          <t>Oscar / TI</t>
        </is>
      </c>
      <c r="E19" s="49" t="inlineStr">
        <is>
          <t>TI</t>
        </is>
      </c>
      <c r="F19" s="50" t="n">
        <v>46253</v>
      </c>
      <c r="G19" s="50" t="n">
        <v>46270</v>
      </c>
      <c r="H19" s="49">
        <f>G19-F19+1</f>
        <v/>
      </c>
      <c r="I19" s="51" t="inlineStr">
        <is>
          <t>En Progreso</t>
        </is>
      </c>
      <c r="J19" s="52" t="n">
        <v>0.2</v>
      </c>
    </row>
    <row r="20" ht="15" customHeight="1">
      <c r="A20" s="5" t="n">
        <v>14</v>
      </c>
      <c r="B20" s="12" t="inlineStr">
        <is>
          <t>Fase 1</t>
        </is>
      </c>
      <c r="C20" s="7" t="inlineStr">
        <is>
          <t>Ampliación - UN Institucional: Catálogo</t>
        </is>
      </c>
      <c r="D20" s="8" t="inlineStr">
        <is>
          <t>Oscar / UN Inst.</t>
        </is>
      </c>
      <c r="E20" s="8" t="inlineStr">
        <is>
          <t>UN Inst.</t>
        </is>
      </c>
      <c r="F20" s="9" t="n">
        <v>46447</v>
      </c>
      <c r="G20" s="9" t="n">
        <v>46451</v>
      </c>
      <c r="H20" s="10">
        <f>G17-F17+1</f>
        <v/>
      </c>
      <c r="I20" s="10" t="inlineStr">
        <is>
          <t>Pendiente</t>
        </is>
      </c>
      <c r="J20" s="11" t="n">
        <v>0</v>
      </c>
    </row>
    <row r="21" ht="15" customHeight="1">
      <c r="A21" s="5" t="n">
        <v>15</v>
      </c>
      <c r="B21" s="12" t="inlineStr">
        <is>
          <t>Fase 1</t>
        </is>
      </c>
      <c r="C21" s="7" t="inlineStr">
        <is>
          <t>Ampliación - UN Institucional: Testing</t>
        </is>
      </c>
      <c r="D21" s="8" t="inlineStr">
        <is>
          <t>Oscar</t>
        </is>
      </c>
      <c r="E21" s="8" t="inlineStr">
        <is>
          <t>TI</t>
        </is>
      </c>
      <c r="F21" s="9" t="n">
        <v>46454</v>
      </c>
      <c r="G21" s="9" t="n">
        <v>46465</v>
      </c>
      <c r="H21" s="10">
        <f>G18-F18+1</f>
        <v/>
      </c>
      <c r="I21" s="10" t="inlineStr">
        <is>
          <t>Pendiente</t>
        </is>
      </c>
      <c r="J21" s="11" t="n">
        <v>0</v>
      </c>
    </row>
    <row r="22" ht="15" customHeight="1">
      <c r="A22" s="5" t="n">
        <v>16</v>
      </c>
      <c r="B22" s="12" t="inlineStr">
        <is>
          <t>Fase 1</t>
        </is>
      </c>
      <c r="C22" s="7" t="inlineStr">
        <is>
          <t>Ampliación - UN Institucional: Deploy</t>
        </is>
      </c>
      <c r="D22" s="8" t="inlineStr">
        <is>
          <t>UN Inst. / TI</t>
        </is>
      </c>
      <c r="E22" s="8" t="inlineStr">
        <is>
          <t>UN Inst.</t>
        </is>
      </c>
      <c r="F22" s="9" t="n">
        <v>46468</v>
      </c>
      <c r="G22" s="9" t="n">
        <v>46479</v>
      </c>
      <c r="H22" s="10">
        <f>G19-F19+1</f>
        <v/>
      </c>
      <c r="I22" s="10" t="inlineStr">
        <is>
          <t>Pendiente</t>
        </is>
      </c>
      <c r="J22" s="11" t="n">
        <v>0</v>
      </c>
    </row>
    <row r="23" ht="15" customHeight="1">
      <c r="A23" s="5" t="n">
        <v>17</v>
      </c>
      <c r="B23" s="12" t="inlineStr">
        <is>
          <t>Fase 1</t>
        </is>
      </c>
      <c r="C23" s="7" t="inlineStr">
        <is>
          <t>Ampliación - Metusa: Catálogo</t>
        </is>
      </c>
      <c r="D23" s="8" t="inlineStr">
        <is>
          <t>Oscar / Metusa</t>
        </is>
      </c>
      <c r="E23" s="8" t="inlineStr">
        <is>
          <t>Metusa</t>
        </is>
      </c>
      <c r="F23" s="9" t="n">
        <v>46447</v>
      </c>
      <c r="G23" s="9" t="n">
        <v>46451</v>
      </c>
      <c r="H23" s="10">
        <f>G20-F20+1</f>
        <v/>
      </c>
      <c r="I23" s="10" t="inlineStr">
        <is>
          <t>Pendiente</t>
        </is>
      </c>
      <c r="J23" s="11" t="n">
        <v>0</v>
      </c>
    </row>
    <row r="24" ht="15" customHeight="1">
      <c r="A24" s="5" t="n">
        <v>18</v>
      </c>
      <c r="B24" s="12" t="inlineStr">
        <is>
          <t>Fase 1</t>
        </is>
      </c>
      <c r="C24" s="7" t="inlineStr">
        <is>
          <t>Ampliación - Metusa: Testing</t>
        </is>
      </c>
      <c r="D24" s="8" t="inlineStr">
        <is>
          <t>Oscar</t>
        </is>
      </c>
      <c r="E24" s="8" t="inlineStr">
        <is>
          <t>TI</t>
        </is>
      </c>
      <c r="F24" s="9" t="n">
        <v>46454</v>
      </c>
      <c r="G24" s="9" t="n">
        <v>46465</v>
      </c>
      <c r="H24" s="10">
        <f>G21-F21+1</f>
        <v/>
      </c>
      <c r="I24" s="10" t="inlineStr">
        <is>
          <t>Pendiente</t>
        </is>
      </c>
      <c r="J24" s="11" t="n">
        <v>0</v>
      </c>
    </row>
    <row r="25" ht="15" customHeight="1">
      <c r="A25" s="5" t="n">
        <v>19</v>
      </c>
      <c r="B25" s="12" t="inlineStr">
        <is>
          <t>Fase 1</t>
        </is>
      </c>
      <c r="C25" s="7" t="inlineStr">
        <is>
          <t>Ampliación - Metusa: Deploy</t>
        </is>
      </c>
      <c r="D25" s="8" t="inlineStr">
        <is>
          <t>Metusa / TI</t>
        </is>
      </c>
      <c r="E25" s="8" t="inlineStr">
        <is>
          <t>Metusa</t>
        </is>
      </c>
      <c r="F25" s="9" t="n">
        <v>46468</v>
      </c>
      <c r="G25" s="9" t="n">
        <v>46479</v>
      </c>
      <c r="H25" s="10">
        <f>G22-F22+1</f>
        <v/>
      </c>
      <c r="I25" s="10" t="inlineStr">
        <is>
          <t>Pendiente</t>
        </is>
      </c>
      <c r="J25" s="11" t="n">
        <v>0</v>
      </c>
    </row>
    <row r="26" ht="15" customHeight="1">
      <c r="A26" s="5" t="n">
        <v>20</v>
      </c>
      <c r="B26" s="12" t="inlineStr">
        <is>
          <t>Fase 1</t>
        </is>
      </c>
      <c r="C26" s="7" t="inlineStr">
        <is>
          <t>Ampliación - Atención al Cliente: Catálogo</t>
        </is>
      </c>
      <c r="D26" s="8" t="inlineStr">
        <is>
          <t>Oscar / Atención</t>
        </is>
      </c>
      <c r="E26" s="8" t="inlineStr">
        <is>
          <t>Atención al Cliente</t>
        </is>
      </c>
      <c r="F26" s="9" t="n">
        <v>46447</v>
      </c>
      <c r="G26" s="9" t="n">
        <v>46451</v>
      </c>
      <c r="H26" s="10">
        <f>G23-F23+1</f>
        <v/>
      </c>
      <c r="I26" s="10" t="inlineStr">
        <is>
          <t>Pendiente</t>
        </is>
      </c>
      <c r="J26" s="11" t="n">
        <v>0</v>
      </c>
    </row>
    <row r="27" ht="15" customHeight="1">
      <c r="A27" s="5" t="n">
        <v>21</v>
      </c>
      <c r="B27" s="12" t="inlineStr">
        <is>
          <t>Fase 1</t>
        </is>
      </c>
      <c r="C27" s="7" t="inlineStr">
        <is>
          <t>Ampliación - Atención al Cliente: Testing</t>
        </is>
      </c>
      <c r="D27" s="8" t="inlineStr">
        <is>
          <t>Oscar</t>
        </is>
      </c>
      <c r="E27" s="8" t="inlineStr">
        <is>
          <t>TI</t>
        </is>
      </c>
      <c r="F27" s="9" t="n">
        <v>46454</v>
      </c>
      <c r="G27" s="9" t="n">
        <v>46465</v>
      </c>
      <c r="H27" s="10">
        <f>G24-F24+1</f>
        <v/>
      </c>
      <c r="I27" s="10" t="inlineStr">
        <is>
          <t>Pendiente</t>
        </is>
      </c>
      <c r="J27" s="11" t="n">
        <v>0</v>
      </c>
    </row>
    <row r="28" ht="15" customHeight="1">
      <c r="A28" s="5" t="n">
        <v>22</v>
      </c>
      <c r="B28" s="12" t="inlineStr">
        <is>
          <t>Fase 1</t>
        </is>
      </c>
      <c r="C28" s="7" t="inlineStr">
        <is>
          <t>Ampliación - Atención al Cliente: Deploy</t>
        </is>
      </c>
      <c r="D28" s="8" t="inlineStr">
        <is>
          <t>Atención / TI</t>
        </is>
      </c>
      <c r="E28" s="8" t="inlineStr">
        <is>
          <t>Atención al Cliente</t>
        </is>
      </c>
      <c r="F28" s="9" t="n">
        <v>46468</v>
      </c>
      <c r="G28" s="9" t="n">
        <v>46479</v>
      </c>
      <c r="H28" s="10">
        <f>G25-F25+1</f>
        <v/>
      </c>
      <c r="I28" s="10" t="inlineStr">
        <is>
          <t>Pendiente</t>
        </is>
      </c>
      <c r="J28" s="11" t="n">
        <v>0</v>
      </c>
    </row>
    <row r="29" ht="15" customHeight="1">
      <c r="A29" s="5" t="n">
        <v>23</v>
      </c>
      <c r="B29" s="12" t="inlineStr">
        <is>
          <t>Fase 1</t>
        </is>
      </c>
      <c r="C29" s="7" t="inlineStr">
        <is>
          <t>Ampliación - Innovación/Calidad: Catálogo</t>
        </is>
      </c>
      <c r="D29" s="8" t="inlineStr">
        <is>
          <t>Oscar / Innovación</t>
        </is>
      </c>
      <c r="E29" s="8" t="inlineStr">
        <is>
          <t>Innovación y Calidad</t>
        </is>
      </c>
      <c r="F29" s="9" t="n">
        <v>46447</v>
      </c>
      <c r="G29" s="9" t="n">
        <v>46451</v>
      </c>
      <c r="H29" s="10">
        <f>G26-F26+1</f>
        <v/>
      </c>
      <c r="I29" s="10" t="inlineStr">
        <is>
          <t>Pendiente</t>
        </is>
      </c>
      <c r="J29" s="11" t="n">
        <v>0</v>
      </c>
    </row>
    <row r="30" ht="15" customHeight="1">
      <c r="A30" s="5" t="n">
        <v>24</v>
      </c>
      <c r="B30" s="12" t="inlineStr">
        <is>
          <t>Fase 1</t>
        </is>
      </c>
      <c r="C30" s="7" t="inlineStr">
        <is>
          <t>Ampliación - Innovación/Calidad: Testing</t>
        </is>
      </c>
      <c r="D30" s="8" t="inlineStr">
        <is>
          <t>Oscar</t>
        </is>
      </c>
      <c r="E30" s="8" t="inlineStr">
        <is>
          <t>TI</t>
        </is>
      </c>
      <c r="F30" s="9" t="n">
        <v>46454</v>
      </c>
      <c r="G30" s="9" t="n">
        <v>46465</v>
      </c>
      <c r="H30" s="10">
        <f>G27-F27+1</f>
        <v/>
      </c>
      <c r="I30" s="10" t="inlineStr">
        <is>
          <t>Pendiente</t>
        </is>
      </c>
      <c r="J30" s="11" t="n">
        <v>0</v>
      </c>
    </row>
    <row r="31" ht="15" customHeight="1">
      <c r="A31" s="5" t="n">
        <v>25</v>
      </c>
      <c r="B31" s="12" t="inlineStr">
        <is>
          <t>Fase 1</t>
        </is>
      </c>
      <c r="C31" s="7" t="inlineStr">
        <is>
          <t>Ampliación - Innovación/Calidad: Deploy</t>
        </is>
      </c>
      <c r="D31" s="8" t="inlineStr">
        <is>
          <t>Innovación / TI</t>
        </is>
      </c>
      <c r="E31" s="8" t="inlineStr">
        <is>
          <t>Innovación y Calidad</t>
        </is>
      </c>
      <c r="F31" s="9" t="n">
        <v>46468</v>
      </c>
      <c r="G31" s="9" t="n">
        <v>46479</v>
      </c>
      <c r="H31" s="10">
        <f>G28-F28+1</f>
        <v/>
      </c>
      <c r="I31" s="10" t="inlineStr">
        <is>
          <t>Pendiente</t>
        </is>
      </c>
      <c r="J31" s="11" t="n">
        <v>0</v>
      </c>
    </row>
    <row r="32" ht="15" customHeight="1">
      <c r="A32" s="5" t="n">
        <v>26</v>
      </c>
      <c r="B32" s="12" t="inlineStr">
        <is>
          <t>Fase 1</t>
        </is>
      </c>
      <c r="C32" s="7" t="inlineStr">
        <is>
          <t>Ampliación - Finanzas: Proyecciones</t>
        </is>
      </c>
      <c r="D32" s="8" t="inlineStr">
        <is>
          <t>Oscar / Finanzas</t>
        </is>
      </c>
      <c r="E32" s="8" t="inlineStr">
        <is>
          <t>Finanzas</t>
        </is>
      </c>
      <c r="F32" s="9" t="n">
        <v>46447</v>
      </c>
      <c r="G32" s="9" t="n">
        <v>46458</v>
      </c>
      <c r="H32" s="10">
        <f>G29-F29+1</f>
        <v/>
      </c>
      <c r="I32" s="10" t="inlineStr">
        <is>
          <t>Pendiente</t>
        </is>
      </c>
      <c r="J32" s="11" t="n">
        <v>0</v>
      </c>
    </row>
    <row r="33" ht="15" customHeight="1">
      <c r="A33" s="5" t="n">
        <v>27</v>
      </c>
      <c r="B33" s="12" t="inlineStr">
        <is>
          <t>Fase 1</t>
        </is>
      </c>
      <c r="C33" s="7" t="inlineStr">
        <is>
          <t>Ampliación - Finanzas: Validación</t>
        </is>
      </c>
      <c r="D33" s="8" t="inlineStr">
        <is>
          <t>TI</t>
        </is>
      </c>
      <c r="E33" s="8" t="inlineStr">
        <is>
          <t>TI</t>
        </is>
      </c>
      <c r="F33" s="9" t="n">
        <v>46461</v>
      </c>
      <c r="G33" s="9" t="n">
        <v>46472</v>
      </c>
      <c r="H33" s="10">
        <f>G30-F30+1</f>
        <v/>
      </c>
      <c r="I33" s="10" t="inlineStr">
        <is>
          <t>Pendiente</t>
        </is>
      </c>
      <c r="J33" s="11" t="n">
        <v>0</v>
      </c>
    </row>
    <row r="34" ht="15" customHeight="1">
      <c r="A34" s="5" t="n">
        <v>28</v>
      </c>
      <c r="B34" s="12" t="inlineStr">
        <is>
          <t>Fase 1</t>
        </is>
      </c>
      <c r="C34" s="7" t="inlineStr">
        <is>
          <t>Ampliación - Finanzas: Deploy</t>
        </is>
      </c>
      <c r="D34" s="8" t="inlineStr">
        <is>
          <t>Finanzas / TI</t>
        </is>
      </c>
      <c r="E34" s="8" t="inlineStr">
        <is>
          <t>Finanzas</t>
        </is>
      </c>
      <c r="F34" s="9" t="n">
        <v>46475</v>
      </c>
      <c r="G34" s="9" t="n">
        <v>46486</v>
      </c>
      <c r="H34" s="10">
        <f>G31-F31+1</f>
        <v/>
      </c>
      <c r="I34" s="10" t="inlineStr">
        <is>
          <t>Pendiente</t>
        </is>
      </c>
      <c r="J34" s="11" t="n">
        <v>0</v>
      </c>
    </row>
    <row r="35" ht="15" customHeight="1">
      <c r="A35" s="5" t="n">
        <v>29</v>
      </c>
      <c r="B35" s="12" t="inlineStr">
        <is>
          <t>Fase 1</t>
        </is>
      </c>
      <c r="C35" s="7" t="inlineStr">
        <is>
          <t>Ampliación - Servicio Técnico: FSM</t>
        </is>
      </c>
      <c r="D35" s="8" t="inlineStr">
        <is>
          <t>TI</t>
        </is>
      </c>
      <c r="E35" s="8" t="inlineStr">
        <is>
          <t>TI</t>
        </is>
      </c>
      <c r="F35" s="9" t="n">
        <v>46447</v>
      </c>
      <c r="G35" s="9" t="n">
        <v>46472</v>
      </c>
      <c r="H35" s="10">
        <f>G32-F32+1</f>
        <v/>
      </c>
      <c r="I35" s="10" t="inlineStr">
        <is>
          <t>Pendiente</t>
        </is>
      </c>
      <c r="J35" s="11" t="n">
        <v>0</v>
      </c>
    </row>
    <row r="36" ht="15" customHeight="1">
      <c r="A36" s="5" t="n">
        <v>30</v>
      </c>
      <c r="B36" s="12" t="inlineStr">
        <is>
          <t>Fase 1</t>
        </is>
      </c>
      <c r="C36" s="7" t="inlineStr">
        <is>
          <t>Ampliación - Servicio Técnico: Testing</t>
        </is>
      </c>
      <c r="D36" s="8" t="inlineStr">
        <is>
          <t>Servicio Técnico / TI</t>
        </is>
      </c>
      <c r="E36" s="8" t="inlineStr">
        <is>
          <t>Servicio Técnico</t>
        </is>
      </c>
      <c r="F36" s="9" t="n">
        <v>46475</v>
      </c>
      <c r="G36" s="9" t="n">
        <v>46486</v>
      </c>
      <c r="H36" s="10">
        <f>G33-F33+1</f>
        <v/>
      </c>
      <c r="I36" s="10" t="inlineStr">
        <is>
          <t>Pendiente</t>
        </is>
      </c>
      <c r="J36" s="11" t="n">
        <v>0</v>
      </c>
    </row>
    <row r="37" ht="15" customHeight="1">
      <c r="A37" s="5" t="n">
        <v>31</v>
      </c>
      <c r="B37" s="12" t="inlineStr">
        <is>
          <t>Fase 1</t>
        </is>
      </c>
      <c r="C37" s="7" t="inlineStr">
        <is>
          <t>Ampliación - Servicio Técnico: Deploy</t>
        </is>
      </c>
      <c r="D37" s="8" t="inlineStr">
        <is>
          <t>Servicio Técnico / TI</t>
        </is>
      </c>
      <c r="E37" s="8" t="inlineStr">
        <is>
          <t>Servicio Técnico</t>
        </is>
      </c>
      <c r="F37" s="9" t="n">
        <v>46489</v>
      </c>
      <c r="G37" s="9" t="n">
        <v>46500</v>
      </c>
      <c r="H37" s="10">
        <f>G34-F34+1</f>
        <v/>
      </c>
      <c r="I37" s="10" t="inlineStr">
        <is>
          <t>Pendiente</t>
        </is>
      </c>
      <c r="J37" s="11" t="n">
        <v>0</v>
      </c>
    </row>
    <row r="38" ht="15" customHeight="1">
      <c r="A38" s="5" t="n">
        <v>32</v>
      </c>
      <c r="B38" s="13" t="inlineStr">
        <is>
          <t>Fase 1.5</t>
        </is>
      </c>
      <c r="C38" s="7" t="inlineStr">
        <is>
          <t>Motor de generación de documentos</t>
        </is>
      </c>
      <c r="D38" s="8" t="inlineStr">
        <is>
          <t>Oscar</t>
        </is>
      </c>
      <c r="E38" s="8" t="inlineStr">
        <is>
          <t>TI</t>
        </is>
      </c>
      <c r="F38" s="9" t="n">
        <v>46503</v>
      </c>
      <c r="G38" s="9" t="n">
        <v>46514</v>
      </c>
      <c r="H38" s="10">
        <f>G35-F35+1</f>
        <v/>
      </c>
      <c r="I38" s="10" t="inlineStr">
        <is>
          <t>Pendiente</t>
        </is>
      </c>
      <c r="J38" s="11" t="n">
        <v>0</v>
      </c>
    </row>
    <row r="39" ht="15" customHeight="1">
      <c r="A39" s="5" t="n">
        <v>33</v>
      </c>
      <c r="B39" s="13" t="inlineStr">
        <is>
          <t>Fase 1.5</t>
        </is>
      </c>
      <c r="C39" s="7" t="inlineStr">
        <is>
          <t>Módulo de investigación externa</t>
        </is>
      </c>
      <c r="D39" s="8" t="inlineStr">
        <is>
          <t>Oscar</t>
        </is>
      </c>
      <c r="E39" s="8" t="inlineStr">
        <is>
          <t>TI</t>
        </is>
      </c>
      <c r="F39" s="9" t="n">
        <v>46503</v>
      </c>
      <c r="G39" s="9" t="n">
        <v>46514</v>
      </c>
      <c r="H39" s="10">
        <f>G36-F36+1</f>
        <v/>
      </c>
      <c r="I39" s="10" t="inlineStr">
        <is>
          <t>Pendiente</t>
        </is>
      </c>
      <c r="J39" s="11" t="n">
        <v>0</v>
      </c>
    </row>
    <row r="40" ht="15" customHeight="1">
      <c r="A40" s="5" t="n">
        <v>34</v>
      </c>
      <c r="B40" s="13" t="inlineStr">
        <is>
          <t>Fase 1.5</t>
        </is>
      </c>
      <c r="C40" s="7" t="inlineStr">
        <is>
          <t>Testing Fase 1.5</t>
        </is>
      </c>
      <c r="D40" s="8" t="inlineStr">
        <is>
          <t>Oscar / Usuarios</t>
        </is>
      </c>
      <c r="E40" s="8" t="inlineStr">
        <is>
          <t>TI</t>
        </is>
      </c>
      <c r="F40" s="9" t="n">
        <v>46517</v>
      </c>
      <c r="G40" s="9" t="n">
        <v>46528</v>
      </c>
      <c r="H40" s="10">
        <f>G37-F37+1</f>
        <v/>
      </c>
      <c r="I40" s="10" t="inlineStr">
        <is>
          <t>Pendiente</t>
        </is>
      </c>
      <c r="J40" s="11" t="n">
        <v>0</v>
      </c>
    </row>
    <row r="41" ht="15" customHeight="1">
      <c r="A41" s="5" t="n">
        <v>35</v>
      </c>
      <c r="B41" s="13" t="inlineStr">
        <is>
          <t>Fase 1.5</t>
        </is>
      </c>
      <c r="C41" s="7" t="inlineStr">
        <is>
          <t>Deploy Fase 1.5</t>
        </is>
      </c>
      <c r="D41" s="8" t="inlineStr">
        <is>
          <t>Oscar</t>
        </is>
      </c>
      <c r="E41" s="8" t="inlineStr">
        <is>
          <t>TI</t>
        </is>
      </c>
      <c r="F41" s="9" t="n">
        <v>46531</v>
      </c>
      <c r="G41" s="9" t="n">
        <v>46542</v>
      </c>
      <c r="H41" s="10">
        <f>G38-F38+1</f>
        <v/>
      </c>
      <c r="I41" s="10" t="inlineStr">
        <is>
          <t>Pendiente</t>
        </is>
      </c>
      <c r="J41" s="11" t="n">
        <v>0</v>
      </c>
    </row>
    <row r="42" ht="15" customHeight="1">
      <c r="A42" s="5" t="n">
        <v>36</v>
      </c>
      <c r="B42" s="14" t="inlineStr">
        <is>
          <t>Fase 1.75</t>
        </is>
      </c>
      <c r="C42" s="7" t="inlineStr">
        <is>
          <t>Indexación documentación institucional</t>
        </is>
      </c>
      <c r="D42" s="8" t="inlineStr">
        <is>
          <t>Oscar / Procesos</t>
        </is>
      </c>
      <c r="E42" s="8" t="inlineStr">
        <is>
          <t>Andrea</t>
        </is>
      </c>
      <c r="F42" s="9" t="n">
        <v>46545</v>
      </c>
      <c r="G42" s="9" t="n">
        <v>46563</v>
      </c>
      <c r="H42" s="10">
        <f>G39-F39+1</f>
        <v/>
      </c>
      <c r="I42" s="10" t="inlineStr">
        <is>
          <t>Pendiente</t>
        </is>
      </c>
      <c r="J42" s="11" t="n">
        <v>0</v>
      </c>
    </row>
    <row r="43" ht="15" customHeight="1">
      <c r="A43" s="5" t="n">
        <v>37</v>
      </c>
      <c r="B43" s="14" t="inlineStr">
        <is>
          <t>Fase 1.75</t>
        </is>
      </c>
      <c r="C43" s="7" t="inlineStr">
        <is>
          <t>Validación acceso universal</t>
        </is>
      </c>
      <c r="D43" s="8" t="inlineStr">
        <is>
          <t>Oscar / Procesos</t>
        </is>
      </c>
      <c r="E43" s="8" t="inlineStr">
        <is>
          <t>TI</t>
        </is>
      </c>
      <c r="F43" s="9" t="n">
        <v>46566</v>
      </c>
      <c r="G43" s="9" t="n">
        <v>46577</v>
      </c>
      <c r="H43" s="10">
        <f>G40-F40+1</f>
        <v/>
      </c>
      <c r="I43" s="10" t="inlineStr">
        <is>
          <t>Pendiente</t>
        </is>
      </c>
      <c r="J43" s="11" t="n">
        <v>0</v>
      </c>
    </row>
    <row r="44" ht="15" customHeight="1">
      <c r="A44" s="5" t="n">
        <v>38</v>
      </c>
      <c r="B44" s="14" t="inlineStr">
        <is>
          <t>Fase 1.75</t>
        </is>
      </c>
      <c r="C44" s="7" t="inlineStr">
        <is>
          <t>Deploy Fase 1.75</t>
        </is>
      </c>
      <c r="D44" s="8" t="inlineStr">
        <is>
          <t>Oscar</t>
        </is>
      </c>
      <c r="E44" s="8" t="inlineStr">
        <is>
          <t>TI</t>
        </is>
      </c>
      <c r="F44" s="9" t="n">
        <v>46580</v>
      </c>
      <c r="G44" s="9" t="n">
        <v>46591</v>
      </c>
      <c r="H44" s="10">
        <f>G41-F41+1</f>
        <v/>
      </c>
      <c r="I44" s="10" t="inlineStr">
        <is>
          <t>Pendiente</t>
        </is>
      </c>
      <c r="J44" s="11" t="n">
        <v>0</v>
      </c>
    </row>
    <row r="45" ht="15" customHeight="1">
      <c r="A45" s="5" t="n">
        <v>39</v>
      </c>
      <c r="B45" s="15" t="inlineStr">
        <is>
          <t>Fase 2</t>
        </is>
      </c>
      <c r="C45" s="7" t="inlineStr">
        <is>
          <t>Validación Legal</t>
        </is>
      </c>
      <c r="D45" s="8" t="inlineStr">
        <is>
          <t>Legal / TI</t>
        </is>
      </c>
      <c r="E45" s="8" t="inlineStr">
        <is>
          <t>Legal</t>
        </is>
      </c>
      <c r="F45" s="9" t="n">
        <v>46503</v>
      </c>
      <c r="G45" s="9" t="n">
        <v>46528</v>
      </c>
      <c r="H45" s="10">
        <f>G42-F42+1</f>
        <v/>
      </c>
      <c r="I45" s="10" t="inlineStr">
        <is>
          <t>Pendiente</t>
        </is>
      </c>
      <c r="J45" s="11" t="n">
        <v>0</v>
      </c>
    </row>
    <row r="46" ht="15" customHeight="1">
      <c r="A46" s="5" t="n">
        <v>40</v>
      </c>
      <c r="B46" s="15" t="inlineStr">
        <is>
          <t>Fase 2</t>
        </is>
      </c>
      <c r="C46" s="7" t="inlineStr">
        <is>
          <t>Validación RRHH</t>
        </is>
      </c>
      <c r="D46" s="8" t="inlineStr">
        <is>
          <t>RRHH / TI</t>
        </is>
      </c>
      <c r="E46" s="8" t="inlineStr">
        <is>
          <t>RRHH</t>
        </is>
      </c>
      <c r="F46" s="9" t="n">
        <v>46503</v>
      </c>
      <c r="G46" s="9" t="n">
        <v>46528</v>
      </c>
      <c r="H46" s="10">
        <f>G43-F43+1</f>
        <v/>
      </c>
      <c r="I46" s="10" t="inlineStr">
        <is>
          <t>Pendiente</t>
        </is>
      </c>
      <c r="J46" s="11" t="n">
        <v>0</v>
      </c>
    </row>
    <row r="47" ht="15" customHeight="1">
      <c r="A47" s="5" t="n">
        <v>41</v>
      </c>
      <c r="B47" s="15" t="inlineStr">
        <is>
          <t>Fase 2</t>
        </is>
      </c>
      <c r="C47" s="7" t="inlineStr">
        <is>
          <t>Ampliación - RRHH: Catálogo</t>
        </is>
      </c>
      <c r="D47" s="8" t="inlineStr">
        <is>
          <t>Oscar / RRHH</t>
        </is>
      </c>
      <c r="E47" s="8" t="inlineStr">
        <is>
          <t>RRHH</t>
        </is>
      </c>
      <c r="F47" s="9" t="n">
        <v>46531</v>
      </c>
      <c r="G47" s="9" t="n">
        <v>46535</v>
      </c>
      <c r="H47" s="10">
        <f>G44-F44+1</f>
        <v/>
      </c>
      <c r="I47" s="10" t="inlineStr">
        <is>
          <t>Pendiente</t>
        </is>
      </c>
      <c r="J47" s="11" t="n">
        <v>0</v>
      </c>
    </row>
    <row r="48" ht="15" customHeight="1">
      <c r="A48" s="5" t="n">
        <v>42</v>
      </c>
      <c r="B48" s="15" t="inlineStr">
        <is>
          <t>Fase 2</t>
        </is>
      </c>
      <c r="C48" s="7" t="inlineStr">
        <is>
          <t>Ampliación - Legal: Catálogo</t>
        </is>
      </c>
      <c r="D48" s="8" t="inlineStr">
        <is>
          <t>Oscar / Legal</t>
        </is>
      </c>
      <c r="E48" s="8" t="inlineStr">
        <is>
          <t>Legal</t>
        </is>
      </c>
      <c r="F48" s="9" t="n">
        <v>46531</v>
      </c>
      <c r="G48" s="9" t="n">
        <v>46535</v>
      </c>
      <c r="H48" s="10">
        <f>G45-F45+1</f>
        <v/>
      </c>
      <c r="I48" s="10" t="inlineStr">
        <is>
          <t>Pendiente</t>
        </is>
      </c>
      <c r="J48" s="11" t="n">
        <v>0</v>
      </c>
    </row>
    <row r="49" ht="15" customHeight="1">
      <c r="A49" s="5" t="n">
        <v>43</v>
      </c>
      <c r="B49" s="15" t="inlineStr">
        <is>
          <t>Fase 2</t>
        </is>
      </c>
      <c r="C49" s="7" t="inlineStr">
        <is>
          <t>Testing RRHH/Legal</t>
        </is>
      </c>
      <c r="D49" s="8" t="inlineStr">
        <is>
          <t>Oscar / RRHH / Legal</t>
        </is>
      </c>
      <c r="E49" s="8" t="inlineStr">
        <is>
          <t>TI</t>
        </is>
      </c>
      <c r="F49" s="9" t="n">
        <v>46538</v>
      </c>
      <c r="G49" s="9" t="n">
        <v>46556</v>
      </c>
      <c r="H49" s="10">
        <f>G46-F46+1</f>
        <v/>
      </c>
      <c r="I49" s="10" t="inlineStr">
        <is>
          <t>Pendiente</t>
        </is>
      </c>
      <c r="J49" s="11" t="n">
        <v>0</v>
      </c>
    </row>
    <row r="50" ht="15" customHeight="1">
      <c r="A50" s="5" t="n">
        <v>44</v>
      </c>
      <c r="B50" s="15" t="inlineStr">
        <is>
          <t>Fase 2</t>
        </is>
      </c>
      <c r="C50" s="7" t="inlineStr">
        <is>
          <t>Deploy Fase 2 - RRHH</t>
        </is>
      </c>
      <c r="D50" s="8" t="inlineStr">
        <is>
          <t>RRHH / TI</t>
        </is>
      </c>
      <c r="E50" s="8" t="inlineStr">
        <is>
          <t>RRHH</t>
        </is>
      </c>
      <c r="F50" s="9" t="n">
        <v>46559</v>
      </c>
      <c r="G50" s="9" t="n">
        <v>46570</v>
      </c>
      <c r="H50" s="10">
        <f>G47-F47+1</f>
        <v/>
      </c>
      <c r="I50" s="10" t="inlineStr">
        <is>
          <t>Pendiente</t>
        </is>
      </c>
      <c r="J50" s="11" t="n">
        <v>0</v>
      </c>
    </row>
    <row r="51" ht="15" customHeight="1">
      <c r="A51" s="5" t="n">
        <v>45</v>
      </c>
      <c r="B51" s="15" t="inlineStr">
        <is>
          <t>Fase 2</t>
        </is>
      </c>
      <c r="C51" s="7" t="inlineStr">
        <is>
          <t>Deploy Fase 2 - Legal</t>
        </is>
      </c>
      <c r="D51" s="8" t="inlineStr">
        <is>
          <t>Legal / TI</t>
        </is>
      </c>
      <c r="E51" s="8" t="inlineStr">
        <is>
          <t>Legal</t>
        </is>
      </c>
      <c r="F51" s="9" t="n">
        <v>46559</v>
      </c>
      <c r="G51" s="9" t="n">
        <v>46570</v>
      </c>
      <c r="H51" s="10">
        <f>G48-F48+1</f>
        <v/>
      </c>
      <c r="I51" s="10" t="inlineStr">
        <is>
          <t>Pendiente</t>
        </is>
      </c>
      <c r="J51" s="11" t="n">
        <v>0</v>
      </c>
    </row>
    <row r="52" ht="15" customHeight="1">
      <c r="A52" s="5" t="n">
        <v>46</v>
      </c>
      <c r="B52" s="16" t="inlineStr">
        <is>
          <t>Fase 3</t>
        </is>
      </c>
      <c r="C52" s="7" t="inlineStr">
        <is>
          <t>Consolidación acceso general</t>
        </is>
      </c>
      <c r="D52" s="8" t="inlineStr">
        <is>
          <t>Oscar / Ejecutiva</t>
        </is>
      </c>
      <c r="E52" s="8" t="inlineStr">
        <is>
          <t>TI</t>
        </is>
      </c>
      <c r="F52" s="9" t="n">
        <v>46594</v>
      </c>
      <c r="G52" s="9" t="n">
        <v>46619</v>
      </c>
      <c r="H52" s="10">
        <f>G49-F49+1</f>
        <v/>
      </c>
      <c r="I52" s="10" t="inlineStr">
        <is>
          <t>Pendiente</t>
        </is>
      </c>
      <c r="J52" s="11" t="n">
        <v>0</v>
      </c>
    </row>
    <row r="53" ht="15" customHeight="1">
      <c r="A53" s="5" t="n">
        <v>47</v>
      </c>
      <c r="B53" s="16" t="inlineStr">
        <is>
          <t>Fase 3</t>
        </is>
      </c>
      <c r="C53" s="7" t="inlineStr">
        <is>
          <t>Marketing y Producto: Deploy</t>
        </is>
      </c>
      <c r="D53" s="8" t="inlineStr">
        <is>
          <t>Marketing / TI</t>
        </is>
      </c>
      <c r="E53" s="8" t="inlineStr">
        <is>
          <t>Marketing</t>
        </is>
      </c>
      <c r="F53" s="9" t="n">
        <v>46594</v>
      </c>
      <c r="G53" s="9" t="n">
        <v>46619</v>
      </c>
      <c r="H53" s="10">
        <f>G50-F50+1</f>
        <v/>
      </c>
      <c r="I53" s="10" t="inlineStr">
        <is>
          <t>Pendiente</t>
        </is>
      </c>
      <c r="J53" s="11" t="n">
        <v>0</v>
      </c>
    </row>
    <row r="54" ht="15" customHeight="1">
      <c r="A54" s="5" t="n">
        <v>48</v>
      </c>
      <c r="B54" s="16" t="inlineStr">
        <is>
          <t>Fase 3</t>
        </is>
      </c>
      <c r="C54" s="7" t="inlineStr">
        <is>
          <t>Capacitación transversal</t>
        </is>
      </c>
      <c r="D54" s="8" t="inlineStr">
        <is>
          <t>Oscar / Procesos</t>
        </is>
      </c>
      <c r="E54" s="8" t="inlineStr">
        <is>
          <t>Oscar</t>
        </is>
      </c>
      <c r="F54" s="9" t="n">
        <v>46622</v>
      </c>
      <c r="G54" s="9" t="n">
        <v>46647</v>
      </c>
      <c r="H54" s="10">
        <f>G51-F51+1</f>
        <v/>
      </c>
      <c r="I54" s="10" t="inlineStr">
        <is>
          <t>Pendiente</t>
        </is>
      </c>
      <c r="J54" s="11" t="n">
        <v>0</v>
      </c>
    </row>
    <row r="55" ht="15" customHeight="1">
      <c r="A55" s="5" t="n">
        <v>49</v>
      </c>
      <c r="B55" s="16" t="inlineStr">
        <is>
          <t>Fase 3</t>
        </is>
      </c>
      <c r="C55" s="7" t="inlineStr">
        <is>
          <t>Monitoreo post-deploy</t>
        </is>
      </c>
      <c r="D55" s="8" t="inlineStr">
        <is>
          <t>TI</t>
        </is>
      </c>
      <c r="E55" s="8" t="inlineStr">
        <is>
          <t>TI</t>
        </is>
      </c>
      <c r="F55" s="9" t="n">
        <v>46650</v>
      </c>
      <c r="G55" s="9" t="n">
        <v>46675</v>
      </c>
      <c r="H55" s="10">
        <f>G52-F52+1</f>
        <v/>
      </c>
      <c r="I55" s="10" t="inlineStr">
        <is>
          <t>Pendiente</t>
        </is>
      </c>
      <c r="J55" s="11" t="n">
        <v>0</v>
      </c>
    </row>
    <row r="56">
      <c r="A56" s="5" t="n">
        <v>50</v>
      </c>
      <c r="B56" s="16" t="inlineStr">
        <is>
          <t>Fase 3</t>
        </is>
      </c>
      <c r="C56" s="7" t="inlineStr">
        <is>
          <t>Ajustes finales</t>
        </is>
      </c>
      <c r="D56" s="8" t="inlineStr">
        <is>
          <t>Oscar / Usuarios</t>
        </is>
      </c>
      <c r="E56" s="8" t="inlineStr">
        <is>
          <t>TI</t>
        </is>
      </c>
      <c r="F56" s="9" t="n">
        <v>46678</v>
      </c>
      <c r="G56" s="9" t="n">
        <v>46703</v>
      </c>
      <c r="H56" s="10">
        <f>G53-F53+1</f>
        <v/>
      </c>
      <c r="I56" s="10" t="inlineStr">
        <is>
          <t>Pendiente</t>
        </is>
      </c>
      <c r="J56" s="11" t="n">
        <v>0</v>
      </c>
    </row>
    <row r="57">
      <c r="A57" s="5" t="n">
        <v>51</v>
      </c>
      <c r="B57" s="16" t="inlineStr">
        <is>
          <t>Fase 3</t>
        </is>
      </c>
      <c r="C57" s="7" t="inlineStr">
        <is>
          <t>Revisión de resultados y ROI</t>
        </is>
      </c>
      <c r="D57" s="8" t="inlineStr">
        <is>
          <t>Oscar / Manuel</t>
        </is>
      </c>
      <c r="E57" s="8" t="inlineStr">
        <is>
          <t>Oscar</t>
        </is>
      </c>
      <c r="F57" s="9" t="n">
        <v>46706</v>
      </c>
      <c r="G57" s="9" t="n">
        <v>46731</v>
      </c>
      <c r="H57" s="10">
        <f>G54-F54+1</f>
        <v/>
      </c>
      <c r="I57" s="10" t="inlineStr">
        <is>
          <t>Pendiente</t>
        </is>
      </c>
      <c r="J57" s="11" t="n">
        <v>0</v>
      </c>
    </row>
    <row r="58">
      <c r="A58" s="5" t="n">
        <v>52</v>
      </c>
      <c r="B58" s="16" t="inlineStr">
        <is>
          <t>Fase 3</t>
        </is>
      </c>
      <c r="C58" s="7" t="inlineStr">
        <is>
          <t>Rollout general completado</t>
        </is>
      </c>
      <c r="D58" s="8" t="inlineStr">
        <is>
          <t>Ejecutiva</t>
        </is>
      </c>
      <c r="E58" s="8" t="inlineStr">
        <is>
          <t>Ejecutiva</t>
        </is>
      </c>
      <c r="F58" s="9" t="n">
        <v>46734</v>
      </c>
      <c r="G58" s="9" t="n">
        <v>46752</v>
      </c>
      <c r="H58" s="10">
        <f>G55-F55+1</f>
        <v/>
      </c>
      <c r="I58" s="10" t="inlineStr">
        <is>
          <t>Pendiente</t>
        </is>
      </c>
      <c r="J58" s="11" t="n">
        <v>0</v>
      </c>
    </row>
  </sheetData>
  <mergeCells count="1">
    <mergeCell ref="A1:J1"/>
  </mergeCells>
  <pageMargins left="0.75" right="0.75" top="1" bottom="1" header="0.511811023622047" footer="0.511811023622047"/>
  <pageSetup orientation="landscape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zoomScaleNormal="100" workbookViewId="0">
      <pane ySplit="2" topLeftCell="A3" activePane="bottomLeft" state="frozen"/>
      <selection pane="bottomLeft" activeCell="A1" sqref="A1"/>
    </sheetView>
  </sheetViews>
  <sheetFormatPr baseColWidth="10" defaultColWidth="8.7109375" defaultRowHeight="15"/>
  <cols>
    <col width="30" customWidth="1" min="1" max="1"/>
    <col width="25" customWidth="1" min="2" max="2"/>
    <col width="45" customWidth="1" min="3" max="3"/>
    <col width="5" customWidth="1" min="4" max="4"/>
  </cols>
  <sheetData>
    <row r="1" ht="16.5" customHeight="1">
      <c r="A1" s="3" t="inlineStr">
        <is>
          <t>SUPUESTOS DEL PROYECTO</t>
        </is>
      </c>
    </row>
    <row r="3">
      <c r="A3" s="2" t="inlineStr">
        <is>
          <t>1. EQUIPO Y RECURSOS</t>
        </is>
      </c>
    </row>
    <row r="5" ht="30" customHeight="1">
      <c r="A5" s="17" t="inlineStr">
        <is>
          <t>Oscar Armando Núñez Vargas</t>
        </is>
      </c>
      <c r="B5" s="18" t="inlineStr">
        <is>
          <t>Especialista de Transformación Digital e IA</t>
        </is>
      </c>
      <c r="C5" s="19" t="inlineStr">
        <is>
          <t>Desarrollo con Claude, coordinación, gestión stakeholders</t>
        </is>
      </c>
    </row>
    <row r="6" ht="30" customHeight="1">
      <c r="A6" s="17" t="inlineStr">
        <is>
          <t>Héctor Antaurco Ayca</t>
        </is>
      </c>
      <c r="B6" s="18" t="inlineStr">
        <is>
          <t>Analista de Procesos y Data</t>
        </is>
      </c>
      <c r="C6" s="19" t="inlineStr">
        <is>
          <t>Validación de datos, catalogación de preguntas, documentación</t>
        </is>
      </c>
    </row>
    <row r="7" ht="30" customHeight="1">
      <c r="A7" s="17" t="inlineStr">
        <is>
          <t>Manuel Calderón Montoro</t>
        </is>
      </c>
      <c r="B7" s="18" t="inlineStr">
        <is>
          <t>Jefe de TI</t>
        </is>
      </c>
      <c r="C7" s="19" t="inlineStr">
        <is>
          <t>Aprobación, acceso a infraestructura, supervisión</t>
        </is>
      </c>
    </row>
    <row r="8" ht="30" customHeight="1">
      <c r="A8" s="17" t="inlineStr">
        <is>
          <t>Andrea Cárdenas Silva</t>
        </is>
      </c>
      <c r="B8" s="18" t="inlineStr">
        <is>
          <t>Jefe de RRHH/Procesos</t>
        </is>
      </c>
      <c r="C8" s="19" t="inlineStr">
        <is>
          <t>Validación de RRHH, documentación institucional</t>
        </is>
      </c>
    </row>
    <row r="9" ht="30" customHeight="1">
      <c r="A9" s="17" t="inlineStr">
        <is>
          <t>Renato Saldaña Jaimes</t>
        </is>
      </c>
      <c r="B9" s="18" t="inlineStr">
        <is>
          <t>Jefe Legal</t>
        </is>
      </c>
      <c r="C9" s="19" t="inlineStr">
        <is>
          <t>Validación legal, cumplimiento de datos personales</t>
        </is>
      </c>
    </row>
    <row r="11">
      <c r="A11" s="2" t="inlineStr">
        <is>
          <t>2. SUPUESTOS DE DISPONIBILIDAD</t>
        </is>
      </c>
    </row>
    <row r="13" ht="30" customHeight="1">
      <c r="A13" s="5" t="inlineStr">
        <is>
          <t>Oscar dedicación</t>
        </is>
      </c>
      <c r="B13" s="20" t="inlineStr">
        <is>
          <t>~70% (estimado)</t>
        </is>
      </c>
      <c r="C13" s="19" t="inlineStr">
        <is>
          <t>Desarrollo con Claude + coordinación + reuniones stakeholders</t>
        </is>
      </c>
    </row>
    <row r="14" ht="30" customHeight="1">
      <c r="A14" s="5" t="inlineStr">
        <is>
          <t>Héctor dedicación</t>
        </is>
      </c>
      <c r="B14" s="20" t="inlineStr">
        <is>
          <t>~20% (estimado)</t>
        </is>
      </c>
      <c r="C14" s="19" t="inlineStr">
        <is>
          <t>Validación en paralelo, no es bloqueante del desarrollo</t>
        </is>
      </c>
    </row>
    <row r="15" ht="30" customHeight="1">
      <c r="A15" s="5" t="inlineStr">
        <is>
          <t>Acceso SAP C4C/FSM</t>
        </is>
      </c>
      <c r="B15" s="20" t="inlineStr">
        <is>
          <t>31 ago 2026</t>
        </is>
      </c>
      <c r="C15" s="19" t="inlineStr">
        <is>
          <t>Requerido para inicio del desarrollo del orquestador</t>
        </is>
      </c>
    </row>
    <row r="16" ht="30" customHeight="1">
      <c r="A16" s="5" t="inlineStr">
        <is>
          <t>Disponibilidad SQL central</t>
        </is>
      </c>
      <c r="B16" s="20" t="inlineStr">
        <is>
          <t>31 ago 2026</t>
        </is>
      </c>
      <c r="C16" s="19" t="inlineStr">
        <is>
          <t>Datos centrales ya existen, integración en plataforma</t>
        </is>
      </c>
    </row>
    <row r="18">
      <c r="A18" s="2" t="inlineStr">
        <is>
          <t>3. SUPUESTOS DE TECNOLOGÍA</t>
        </is>
      </c>
    </row>
    <row r="20">
      <c r="A20" s="5" t="inlineStr">
        <is>
          <t>Claude como herramienta de desarrollo</t>
        </is>
      </c>
      <c r="B20" s="21" t="inlineStr">
        <is>
          <t>Acelera desarrollo ~3-5x vs. programador manual</t>
        </is>
      </c>
      <c r="C20" s="22" t="inlineStr">
        <is>
          <t>Pruebas iniciales exitosas con intake platform</t>
        </is>
      </c>
    </row>
    <row r="21">
      <c r="A21" s="5" t="inlineStr">
        <is>
          <t>Modelo LLM</t>
        </is>
      </c>
      <c r="B21" s="21" t="inlineStr">
        <is>
          <t>Claude Sonnet 5 o superior</t>
        </is>
      </c>
      <c r="C21" s="22" t="inlineStr">
        <is>
          <t>Function calling maduro, 200K token window</t>
        </is>
      </c>
    </row>
    <row r="22">
      <c r="A22" s="5" t="inlineStr">
        <is>
          <t>Arquitectura</t>
        </is>
      </c>
      <c r="B22" s="21" t="inlineStr">
        <is>
          <t>A definir (Orquestador único vs. Multiagente)</t>
        </is>
      </c>
      <c r="C22" s="22" t="inlineStr">
        <is>
          <t>Análisis de tokens dice ~24% ahorro con multiagente</t>
        </is>
      </c>
    </row>
    <row r="23">
      <c r="A23" s="5" t="inlineStr">
        <is>
          <t>Hosting</t>
        </is>
      </c>
      <c r="B23" s="21" t="inlineStr">
        <is>
          <t>Azure / infraestructura MT Industrial existente</t>
        </is>
      </c>
      <c r="C23" s="22" t="inlineStr">
        <is>
          <t>TI responsable de infraestructura</t>
        </is>
      </c>
    </row>
    <row r="25">
      <c r="A25" s="1" t="inlineStr">
        <is>
          <t>4. RIESGOS PRINCIPALES</t>
        </is>
      </c>
    </row>
    <row r="27" ht="30" customHeight="1">
      <c r="A27" s="5" t="inlineStr">
        <is>
          <t>Oscar indisponible</t>
        </is>
      </c>
      <c r="B27" s="23" t="inlineStr">
        <is>
          <t>ALTO</t>
        </is>
      </c>
      <c r="C27" s="19" t="inlineStr">
        <is>
          <t>Mitigación: documentar código, establecer backup</t>
        </is>
      </c>
    </row>
    <row r="28" ht="30" customHeight="1">
      <c r="A28" s="5" t="inlineStr">
        <is>
          <t>RBAC más complejo de lo estimado</t>
        </is>
      </c>
      <c r="B28" s="24" t="inlineStr">
        <is>
          <t>MEDIO</t>
        </is>
      </c>
      <c r="C28" s="19" t="inlineStr">
        <is>
          <t>Incluir buffer en cronograma, validar con Legal desde inicio</t>
        </is>
      </c>
    </row>
    <row r="29">
      <c r="A29" s="5" t="inlineStr">
        <is>
          <t>Alucinaciones LLM en datos sensibles (RRHH/Legal)</t>
        </is>
      </c>
      <c r="B29" s="23" t="inlineStr">
        <is>
          <t>ALTO</t>
        </is>
      </c>
      <c r="C29" s="19" t="inlineStr">
        <is>
          <t>Guardrails + validación humana en Fase 2</t>
        </is>
      </c>
    </row>
    <row r="30" ht="30" customHeight="1">
      <c r="A30" s="5" t="inlineStr">
        <is>
          <t>Acceso tardío a APIs SAP</t>
        </is>
      </c>
      <c r="B30" s="24" t="inlineStr">
        <is>
          <t>MEDIO</t>
        </is>
      </c>
      <c r="C30" s="19" t="inlineStr">
        <is>
          <t>Inicio paralelo: desarrollo sin SAP usando datos de prueba</t>
        </is>
      </c>
    </row>
    <row r="31" ht="30" customHeight="1">
      <c r="A31" s="5" t="inlineStr">
        <is>
          <t>Presunción en proyecciones (climate, market)</t>
        </is>
      </c>
      <c r="B31" s="24" t="inlineStr">
        <is>
          <t>MEDIO</t>
        </is>
      </c>
      <c r="C31" s="19" t="inlineStr">
        <is>
          <t>Documentar variables externas, marcar como supuestos en UI</t>
        </is>
      </c>
    </row>
  </sheetData>
  <mergeCells count="5">
    <mergeCell ref="A1:D1"/>
    <mergeCell ref="A18:D18"/>
    <mergeCell ref="A3:D3"/>
    <mergeCell ref="A25:D25"/>
    <mergeCell ref="A11:D1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55"/>
  <sheetViews>
    <sheetView showGridLines="0"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1" sqref="A1"/>
    </sheetView>
  </sheetViews>
  <sheetFormatPr baseColWidth="10" defaultColWidth="8.7109375" defaultRowHeight="15"/>
  <cols>
    <col width="5" customWidth="1" min="1" max="1"/>
    <col width="10" customWidth="1" min="2" max="2"/>
    <col width="40" customWidth="1" min="3" max="3"/>
    <col width="16" customWidth="1" min="4" max="4"/>
    <col width="3.42578125" customWidth="1" min="5" max="21"/>
  </cols>
  <sheetData>
    <row r="1" ht="15.75" customHeight="1">
      <c r="A1" s="3" t="inlineStr">
        <is>
          <t>EcosistemaIA — Gantt por Mes (todas las áreas y fases)</t>
        </is>
      </c>
    </row>
    <row r="3" ht="45" customHeight="1">
      <c r="A3" s="25" t="inlineStr">
        <is>
          <t>ID</t>
        </is>
      </c>
      <c r="B3" s="25" t="inlineStr">
        <is>
          <t>Fase</t>
        </is>
      </c>
      <c r="C3" s="25" t="inlineStr">
        <is>
          <t>Tarea</t>
        </is>
      </c>
      <c r="D3" s="25" t="inlineStr">
        <is>
          <t>Área</t>
        </is>
      </c>
      <c r="E3" s="26" t="inlineStr">
        <is>
          <t>Aug 2026</t>
        </is>
      </c>
      <c r="F3" s="26" t="inlineStr">
        <is>
          <t>Sep 2026</t>
        </is>
      </c>
      <c r="G3" s="26" t="inlineStr">
        <is>
          <t>Oct 2026</t>
        </is>
      </c>
      <c r="H3" s="26" t="inlineStr">
        <is>
          <t>Nov 2026</t>
        </is>
      </c>
      <c r="I3" s="26" t="inlineStr">
        <is>
          <t>Dec 2026</t>
        </is>
      </c>
      <c r="J3" s="26" t="inlineStr">
        <is>
          <t>Jan 2027</t>
        </is>
      </c>
      <c r="K3" s="26" t="inlineStr">
        <is>
          <t>Feb 2027</t>
        </is>
      </c>
      <c r="L3" s="26" t="inlineStr">
        <is>
          <t>Mar 2027</t>
        </is>
      </c>
      <c r="M3" s="26" t="inlineStr">
        <is>
          <t>Apr 2027</t>
        </is>
      </c>
      <c r="N3" s="26" t="inlineStr">
        <is>
          <t>May 2027</t>
        </is>
      </c>
      <c r="O3" s="26" t="inlineStr">
        <is>
          <t>Jun 2027</t>
        </is>
      </c>
      <c r="P3" s="26" t="inlineStr">
        <is>
          <t>Jul 2027</t>
        </is>
      </c>
      <c r="Q3" s="26" t="inlineStr">
        <is>
          <t>Aug 2027</t>
        </is>
      </c>
      <c r="R3" s="26" t="inlineStr">
        <is>
          <t>Sep 2027</t>
        </is>
      </c>
      <c r="S3" s="26" t="inlineStr">
        <is>
          <t>Oct 2027</t>
        </is>
      </c>
      <c r="T3" s="26" t="inlineStr">
        <is>
          <t>Nov 2027</t>
        </is>
      </c>
      <c r="U3" s="26" t="inlineStr">
        <is>
          <t>Dec 2027</t>
        </is>
      </c>
    </row>
    <row r="4" ht="15" customHeight="1">
      <c r="A4" s="8">
        <f>Cronograma!A5</f>
        <v/>
      </c>
      <c r="B4" s="27">
        <f>Cronograma!B5</f>
        <v/>
      </c>
      <c r="C4" s="28">
        <f>Cronograma!C5</f>
        <v/>
      </c>
      <c r="D4" s="29">
        <f>Cronograma!E5</f>
        <v/>
      </c>
      <c r="E4" s="30">
        <f>IF(AND(Cronograma!$F5&lt;=DATE(2026,8,31),Cronograma!$G5&gt;=DATE(2026,8,1)),1,0)</f>
        <v/>
      </c>
      <c r="F4" s="31">
        <f>IF(AND(Cronograma!$F5&lt;=DATE(2026,9,30),Cronograma!$G5&gt;=DATE(2026,9,1)),1,0)</f>
        <v/>
      </c>
      <c r="G4" s="31">
        <f>IF(AND(Cronograma!$F5&lt;=DATE(2026,10,31),Cronograma!$G5&gt;=DATE(2026,10,1)),1,0)</f>
        <v/>
      </c>
      <c r="H4" s="31">
        <f>IF(AND(Cronograma!$F5&lt;=DATE(2026,11,30),Cronograma!$G5&gt;=DATE(2026,11,1)),1,0)</f>
        <v/>
      </c>
      <c r="I4" s="31">
        <f>IF(AND(Cronograma!$F5&lt;=DATE(2026,12,31),Cronograma!$G5&gt;=DATE(2026,12,1)),1,0)</f>
        <v/>
      </c>
      <c r="J4" s="31">
        <f>IF(AND(Cronograma!$F5&lt;=DATE(2027,1,31),Cronograma!$G5&gt;=DATE(2027,1,1)),1,0)</f>
        <v/>
      </c>
      <c r="K4" s="31">
        <f>IF(AND(Cronograma!$F5&lt;=DATE(2027,2,28),Cronograma!$G5&gt;=DATE(2027,2,1)),1,0)</f>
        <v/>
      </c>
      <c r="L4" s="31">
        <f>IF(AND(Cronograma!$F5&lt;=DATE(2027,3,31),Cronograma!$G5&gt;=DATE(2027,3,1)),1,0)</f>
        <v/>
      </c>
      <c r="M4" s="31">
        <f>IF(AND(Cronograma!$F5&lt;=DATE(2027,4,30),Cronograma!$G5&gt;=DATE(2027,4,1)),1,0)</f>
        <v/>
      </c>
      <c r="N4" s="31">
        <f>IF(AND(Cronograma!$F5&lt;=DATE(2027,5,31),Cronograma!$G5&gt;=DATE(2027,5,1)),1,0)</f>
        <v/>
      </c>
      <c r="O4" s="31">
        <f>IF(AND(Cronograma!$F5&lt;=DATE(2027,6,30),Cronograma!$G5&gt;=DATE(2027,6,1)),1,0)</f>
        <v/>
      </c>
      <c r="P4" s="31">
        <f>IF(AND(Cronograma!$F5&lt;=DATE(2027,7,31),Cronograma!$G5&gt;=DATE(2027,7,1)),1,0)</f>
        <v/>
      </c>
      <c r="Q4" s="31">
        <f>IF(AND(Cronograma!$F5&lt;=DATE(2027,8,31),Cronograma!$G5&gt;=DATE(2027,8,1)),1,0)</f>
        <v/>
      </c>
      <c r="R4" s="31">
        <f>IF(AND(Cronograma!$F5&lt;=DATE(2027,9,30),Cronograma!$G5&gt;=DATE(2027,9,1)),1,0)</f>
        <v/>
      </c>
      <c r="S4" s="31">
        <f>IF(AND(Cronograma!$F5&lt;=DATE(2027,10,31),Cronograma!$G5&gt;=DATE(2027,10,1)),1,0)</f>
        <v/>
      </c>
      <c r="T4" s="31">
        <f>IF(AND(Cronograma!$F5&lt;=DATE(2027,11,30),Cronograma!$G5&gt;=DATE(2027,11,1)),1,0)</f>
        <v/>
      </c>
      <c r="U4" s="31">
        <f>IF(AND(Cronograma!$F5&lt;=DATE(2027,12,31),Cronograma!$G5&gt;=DATE(2027,12,1)),1,0)</f>
        <v/>
      </c>
    </row>
    <row r="5" ht="15" customHeight="1">
      <c r="A5" s="8">
        <f>Cronograma!A6</f>
        <v/>
      </c>
      <c r="B5" s="27">
        <f>Cronograma!B6</f>
        <v/>
      </c>
      <c r="C5" s="28">
        <f>Cronograma!C6</f>
        <v/>
      </c>
      <c r="D5" s="29">
        <f>Cronograma!E6</f>
        <v/>
      </c>
      <c r="E5" s="30">
        <f>IF(AND(Cronograma!$F6&lt;=DATE(2026,8,31),Cronograma!$G6&gt;=DATE(2026,8,1)),1,0)</f>
        <v/>
      </c>
      <c r="F5" s="31">
        <f>IF(AND(Cronograma!$F6&lt;=DATE(2026,9,30),Cronograma!$G6&gt;=DATE(2026,9,1)),1,0)</f>
        <v/>
      </c>
      <c r="G5" s="31">
        <f>IF(AND(Cronograma!$F6&lt;=DATE(2026,10,31),Cronograma!$G6&gt;=DATE(2026,10,1)),1,0)</f>
        <v/>
      </c>
      <c r="H5" s="31">
        <f>IF(AND(Cronograma!$F6&lt;=DATE(2026,11,30),Cronograma!$G6&gt;=DATE(2026,11,1)),1,0)</f>
        <v/>
      </c>
      <c r="I5" s="31">
        <f>IF(AND(Cronograma!$F6&lt;=DATE(2026,12,31),Cronograma!$G6&gt;=DATE(2026,12,1)),1,0)</f>
        <v/>
      </c>
      <c r="J5" s="31">
        <f>IF(AND(Cronograma!$F6&lt;=DATE(2027,1,31),Cronograma!$G6&gt;=DATE(2027,1,1)),1,0)</f>
        <v/>
      </c>
      <c r="K5" s="31">
        <f>IF(AND(Cronograma!$F6&lt;=DATE(2027,2,28),Cronograma!$G6&gt;=DATE(2027,2,1)),1,0)</f>
        <v/>
      </c>
      <c r="L5" s="31">
        <f>IF(AND(Cronograma!$F6&lt;=DATE(2027,3,31),Cronograma!$G6&gt;=DATE(2027,3,1)),1,0)</f>
        <v/>
      </c>
      <c r="M5" s="31">
        <f>IF(AND(Cronograma!$F6&lt;=DATE(2027,4,30),Cronograma!$G6&gt;=DATE(2027,4,1)),1,0)</f>
        <v/>
      </c>
      <c r="N5" s="31">
        <f>IF(AND(Cronograma!$F6&lt;=DATE(2027,5,31),Cronograma!$G6&gt;=DATE(2027,5,1)),1,0)</f>
        <v/>
      </c>
      <c r="O5" s="31">
        <f>IF(AND(Cronograma!$F6&lt;=DATE(2027,6,30),Cronograma!$G6&gt;=DATE(2027,6,1)),1,0)</f>
        <v/>
      </c>
      <c r="P5" s="31">
        <f>IF(AND(Cronograma!$F6&lt;=DATE(2027,7,31),Cronograma!$G6&gt;=DATE(2027,7,1)),1,0)</f>
        <v/>
      </c>
      <c r="Q5" s="31">
        <f>IF(AND(Cronograma!$F6&lt;=DATE(2027,8,31),Cronograma!$G6&gt;=DATE(2027,8,1)),1,0)</f>
        <v/>
      </c>
      <c r="R5" s="31">
        <f>IF(AND(Cronograma!$F6&lt;=DATE(2027,9,30),Cronograma!$G6&gt;=DATE(2027,9,1)),1,0)</f>
        <v/>
      </c>
      <c r="S5" s="31">
        <f>IF(AND(Cronograma!$F6&lt;=DATE(2027,10,31),Cronograma!$G6&gt;=DATE(2027,10,1)),1,0)</f>
        <v/>
      </c>
      <c r="T5" s="31">
        <f>IF(AND(Cronograma!$F6&lt;=DATE(2027,11,30),Cronograma!$G6&gt;=DATE(2027,11,1)),1,0)</f>
        <v/>
      </c>
      <c r="U5" s="31">
        <f>IF(AND(Cronograma!$F6&lt;=DATE(2027,12,31),Cronograma!$G6&gt;=DATE(2027,12,1)),1,0)</f>
        <v/>
      </c>
    </row>
    <row r="6" ht="15" customHeight="1">
      <c r="A6" s="8">
        <f>Cronograma!A7</f>
        <v/>
      </c>
      <c r="B6" s="27">
        <f>Cronograma!B7</f>
        <v/>
      </c>
      <c r="C6" s="28">
        <f>Cronograma!C7</f>
        <v/>
      </c>
      <c r="D6" s="29">
        <f>Cronograma!E7</f>
        <v/>
      </c>
      <c r="E6" s="30">
        <f>IF(AND(Cronograma!$F7&lt;=DATE(2026,8,31),Cronograma!$G7&gt;=DATE(2026,8,1)),1,0)</f>
        <v/>
      </c>
      <c r="F6" s="30">
        <f>IF(AND(Cronograma!$F7&lt;=DATE(2026,9,30),Cronograma!$G7&gt;=DATE(2026,9,1)),1,0)</f>
        <v/>
      </c>
      <c r="G6" s="31">
        <f>IF(AND(Cronograma!$F7&lt;=DATE(2026,10,31),Cronograma!$G7&gt;=DATE(2026,10,1)),1,0)</f>
        <v/>
      </c>
      <c r="H6" s="31">
        <f>IF(AND(Cronograma!$F7&lt;=DATE(2026,11,30),Cronograma!$G7&gt;=DATE(2026,11,1)),1,0)</f>
        <v/>
      </c>
      <c r="I6" s="31">
        <f>IF(AND(Cronograma!$F7&lt;=DATE(2026,12,31),Cronograma!$G7&gt;=DATE(2026,12,1)),1,0)</f>
        <v/>
      </c>
      <c r="J6" s="31">
        <f>IF(AND(Cronograma!$F7&lt;=DATE(2027,1,31),Cronograma!$G7&gt;=DATE(2027,1,1)),1,0)</f>
        <v/>
      </c>
      <c r="K6" s="31">
        <f>IF(AND(Cronograma!$F7&lt;=DATE(2027,2,28),Cronograma!$G7&gt;=DATE(2027,2,1)),1,0)</f>
        <v/>
      </c>
      <c r="L6" s="31">
        <f>IF(AND(Cronograma!$F7&lt;=DATE(2027,3,31),Cronograma!$G7&gt;=DATE(2027,3,1)),1,0)</f>
        <v/>
      </c>
      <c r="M6" s="31">
        <f>IF(AND(Cronograma!$F7&lt;=DATE(2027,4,30),Cronograma!$G7&gt;=DATE(2027,4,1)),1,0)</f>
        <v/>
      </c>
      <c r="N6" s="31">
        <f>IF(AND(Cronograma!$F7&lt;=DATE(2027,5,31),Cronograma!$G7&gt;=DATE(2027,5,1)),1,0)</f>
        <v/>
      </c>
      <c r="O6" s="31">
        <f>IF(AND(Cronograma!$F7&lt;=DATE(2027,6,30),Cronograma!$G7&gt;=DATE(2027,6,1)),1,0)</f>
        <v/>
      </c>
      <c r="P6" s="31">
        <f>IF(AND(Cronograma!$F7&lt;=DATE(2027,7,31),Cronograma!$G7&gt;=DATE(2027,7,1)),1,0)</f>
        <v/>
      </c>
      <c r="Q6" s="31">
        <f>IF(AND(Cronograma!$F7&lt;=DATE(2027,8,31),Cronograma!$G7&gt;=DATE(2027,8,1)),1,0)</f>
        <v/>
      </c>
      <c r="R6" s="31">
        <f>IF(AND(Cronograma!$F7&lt;=DATE(2027,9,30),Cronograma!$G7&gt;=DATE(2027,9,1)),1,0)</f>
        <v/>
      </c>
      <c r="S6" s="31">
        <f>IF(AND(Cronograma!$F7&lt;=DATE(2027,10,31),Cronograma!$G7&gt;=DATE(2027,10,1)),1,0)</f>
        <v/>
      </c>
      <c r="T6" s="31">
        <f>IF(AND(Cronograma!$F7&lt;=DATE(2027,11,30),Cronograma!$G7&gt;=DATE(2027,11,1)),1,0)</f>
        <v/>
      </c>
      <c r="U6" s="31">
        <f>IF(AND(Cronograma!$F7&lt;=DATE(2027,12,31),Cronograma!$G7&gt;=DATE(2027,12,1)),1,0)</f>
        <v/>
      </c>
    </row>
    <row r="7" ht="15" customHeight="1">
      <c r="A7" s="8">
        <f>Cronograma!A8</f>
        <v/>
      </c>
      <c r="B7" s="27">
        <f>Cronograma!B8</f>
        <v/>
      </c>
      <c r="C7" s="28">
        <f>Cronograma!C8</f>
        <v/>
      </c>
      <c r="D7" s="29">
        <f>Cronograma!E8</f>
        <v/>
      </c>
      <c r="E7" s="30">
        <f>IF(AND(Cronograma!$F8&lt;=DATE(2026,8,31),Cronograma!$G8&gt;=DATE(2026,8,1)),1,0)</f>
        <v/>
      </c>
      <c r="F7" s="30">
        <f>IF(AND(Cronograma!$F8&lt;=DATE(2026,9,30),Cronograma!$G8&gt;=DATE(2026,9,1)),1,0)</f>
        <v/>
      </c>
      <c r="G7" s="31">
        <f>IF(AND(Cronograma!$F8&lt;=DATE(2026,10,31),Cronograma!$G8&gt;=DATE(2026,10,1)),1,0)</f>
        <v/>
      </c>
      <c r="H7" s="31">
        <f>IF(AND(Cronograma!$F8&lt;=DATE(2026,11,30),Cronograma!$G8&gt;=DATE(2026,11,1)),1,0)</f>
        <v/>
      </c>
      <c r="I7" s="31">
        <f>IF(AND(Cronograma!$F8&lt;=DATE(2026,12,31),Cronograma!$G8&gt;=DATE(2026,12,1)),1,0)</f>
        <v/>
      </c>
      <c r="J7" s="31">
        <f>IF(AND(Cronograma!$F8&lt;=DATE(2027,1,31),Cronograma!$G8&gt;=DATE(2027,1,1)),1,0)</f>
        <v/>
      </c>
      <c r="K7" s="31">
        <f>IF(AND(Cronograma!$F8&lt;=DATE(2027,2,28),Cronograma!$G8&gt;=DATE(2027,2,1)),1,0)</f>
        <v/>
      </c>
      <c r="L7" s="31">
        <f>IF(AND(Cronograma!$F8&lt;=DATE(2027,3,31),Cronograma!$G8&gt;=DATE(2027,3,1)),1,0)</f>
        <v/>
      </c>
      <c r="M7" s="31">
        <f>IF(AND(Cronograma!$F8&lt;=DATE(2027,4,30),Cronograma!$G8&gt;=DATE(2027,4,1)),1,0)</f>
        <v/>
      </c>
      <c r="N7" s="31">
        <f>IF(AND(Cronograma!$F8&lt;=DATE(2027,5,31),Cronograma!$G8&gt;=DATE(2027,5,1)),1,0)</f>
        <v/>
      </c>
      <c r="O7" s="31">
        <f>IF(AND(Cronograma!$F8&lt;=DATE(2027,6,30),Cronograma!$G8&gt;=DATE(2027,6,1)),1,0)</f>
        <v/>
      </c>
      <c r="P7" s="31">
        <f>IF(AND(Cronograma!$F8&lt;=DATE(2027,7,31),Cronograma!$G8&gt;=DATE(2027,7,1)),1,0)</f>
        <v/>
      </c>
      <c r="Q7" s="31">
        <f>IF(AND(Cronograma!$F8&lt;=DATE(2027,8,31),Cronograma!$G8&gt;=DATE(2027,8,1)),1,0)</f>
        <v/>
      </c>
      <c r="R7" s="31">
        <f>IF(AND(Cronograma!$F8&lt;=DATE(2027,9,30),Cronograma!$G8&gt;=DATE(2027,9,1)),1,0)</f>
        <v/>
      </c>
      <c r="S7" s="31">
        <f>IF(AND(Cronograma!$F8&lt;=DATE(2027,10,31),Cronograma!$G8&gt;=DATE(2027,10,1)),1,0)</f>
        <v/>
      </c>
      <c r="T7" s="31">
        <f>IF(AND(Cronograma!$F8&lt;=DATE(2027,11,30),Cronograma!$G8&gt;=DATE(2027,11,1)),1,0)</f>
        <v/>
      </c>
      <c r="U7" s="31">
        <f>IF(AND(Cronograma!$F8&lt;=DATE(2027,12,31),Cronograma!$G8&gt;=DATE(2027,12,1)),1,0)</f>
        <v/>
      </c>
    </row>
    <row r="8" ht="15" customHeight="1">
      <c r="A8" s="8">
        <f>Cronograma!A9</f>
        <v/>
      </c>
      <c r="B8" s="27">
        <f>Cronograma!B9</f>
        <v/>
      </c>
      <c r="C8" s="28">
        <f>Cronograma!C9</f>
        <v/>
      </c>
      <c r="D8" s="29">
        <f>Cronograma!E9</f>
        <v/>
      </c>
      <c r="E8" s="30">
        <f>IF(AND(Cronograma!$F9&lt;=DATE(2026,8,31),Cronograma!$G9&gt;=DATE(2026,8,1)),1,0)</f>
        <v/>
      </c>
      <c r="F8" s="30">
        <f>IF(AND(Cronograma!$F9&lt;=DATE(2026,9,30),Cronograma!$G9&gt;=DATE(2026,9,1)),1,0)</f>
        <v/>
      </c>
      <c r="G8" s="31">
        <f>IF(AND(Cronograma!$F9&lt;=DATE(2026,10,31),Cronograma!$G9&gt;=DATE(2026,10,1)),1,0)</f>
        <v/>
      </c>
      <c r="H8" s="31">
        <f>IF(AND(Cronograma!$F9&lt;=DATE(2026,11,30),Cronograma!$G9&gt;=DATE(2026,11,1)),1,0)</f>
        <v/>
      </c>
      <c r="I8" s="31">
        <f>IF(AND(Cronograma!$F9&lt;=DATE(2026,12,31),Cronograma!$G9&gt;=DATE(2026,12,1)),1,0)</f>
        <v/>
      </c>
      <c r="J8" s="31">
        <f>IF(AND(Cronograma!$F9&lt;=DATE(2027,1,31),Cronograma!$G9&gt;=DATE(2027,1,1)),1,0)</f>
        <v/>
      </c>
      <c r="K8" s="31">
        <f>IF(AND(Cronograma!$F9&lt;=DATE(2027,2,28),Cronograma!$G9&gt;=DATE(2027,2,1)),1,0)</f>
        <v/>
      </c>
      <c r="L8" s="31">
        <f>IF(AND(Cronograma!$F9&lt;=DATE(2027,3,31),Cronograma!$G9&gt;=DATE(2027,3,1)),1,0)</f>
        <v/>
      </c>
      <c r="M8" s="31">
        <f>IF(AND(Cronograma!$F9&lt;=DATE(2027,4,30),Cronograma!$G9&gt;=DATE(2027,4,1)),1,0)</f>
        <v/>
      </c>
      <c r="N8" s="31">
        <f>IF(AND(Cronograma!$F9&lt;=DATE(2027,5,31),Cronograma!$G9&gt;=DATE(2027,5,1)),1,0)</f>
        <v/>
      </c>
      <c r="O8" s="31">
        <f>IF(AND(Cronograma!$F9&lt;=DATE(2027,6,30),Cronograma!$G9&gt;=DATE(2027,6,1)),1,0)</f>
        <v/>
      </c>
      <c r="P8" s="31">
        <f>IF(AND(Cronograma!$F9&lt;=DATE(2027,7,31),Cronograma!$G9&gt;=DATE(2027,7,1)),1,0)</f>
        <v/>
      </c>
      <c r="Q8" s="31">
        <f>IF(AND(Cronograma!$F9&lt;=DATE(2027,8,31),Cronograma!$G9&gt;=DATE(2027,8,1)),1,0)</f>
        <v/>
      </c>
      <c r="R8" s="31">
        <f>IF(AND(Cronograma!$F9&lt;=DATE(2027,9,30),Cronograma!$G9&gt;=DATE(2027,9,1)),1,0)</f>
        <v/>
      </c>
      <c r="S8" s="31">
        <f>IF(AND(Cronograma!$F9&lt;=DATE(2027,10,31),Cronograma!$G9&gt;=DATE(2027,10,1)),1,0)</f>
        <v/>
      </c>
      <c r="T8" s="31">
        <f>IF(AND(Cronograma!$F9&lt;=DATE(2027,11,30),Cronograma!$G9&gt;=DATE(2027,11,1)),1,0)</f>
        <v/>
      </c>
      <c r="U8" s="31">
        <f>IF(AND(Cronograma!$F9&lt;=DATE(2027,12,31),Cronograma!$G9&gt;=DATE(2027,12,1)),1,0)</f>
        <v/>
      </c>
    </row>
    <row r="9" ht="15" customHeight="1">
      <c r="A9" s="8">
        <f>Cronograma!A10</f>
        <v/>
      </c>
      <c r="B9" s="27">
        <f>Cronograma!B10</f>
        <v/>
      </c>
      <c r="C9" s="28">
        <f>Cronograma!C10</f>
        <v/>
      </c>
      <c r="D9" s="29">
        <f>Cronograma!E10</f>
        <v/>
      </c>
      <c r="E9" s="31">
        <f>IF(AND(Cronograma!$F10&lt;=DATE(2026,8,31),Cronograma!$G10&gt;=DATE(2026,8,1)),1,0)</f>
        <v/>
      </c>
      <c r="F9" s="30">
        <f>IF(AND(Cronograma!$F10&lt;=DATE(2026,9,30),Cronograma!$G10&gt;=DATE(2026,9,1)),1,0)</f>
        <v/>
      </c>
      <c r="G9" s="30">
        <f>IF(AND(Cronograma!$F10&lt;=DATE(2026,10,31),Cronograma!$G10&gt;=DATE(2026,10,1)),1,0)</f>
        <v/>
      </c>
      <c r="H9" s="31">
        <f>IF(AND(Cronograma!$F10&lt;=DATE(2026,11,30),Cronograma!$G10&gt;=DATE(2026,11,1)),1,0)</f>
        <v/>
      </c>
      <c r="I9" s="31">
        <f>IF(AND(Cronograma!$F10&lt;=DATE(2026,12,31),Cronograma!$G10&gt;=DATE(2026,12,1)),1,0)</f>
        <v/>
      </c>
      <c r="J9" s="31">
        <f>IF(AND(Cronograma!$F10&lt;=DATE(2027,1,31),Cronograma!$G10&gt;=DATE(2027,1,1)),1,0)</f>
        <v/>
      </c>
      <c r="K9" s="31">
        <f>IF(AND(Cronograma!$F10&lt;=DATE(2027,2,28),Cronograma!$G10&gt;=DATE(2027,2,1)),1,0)</f>
        <v/>
      </c>
      <c r="L9" s="31">
        <f>IF(AND(Cronograma!$F10&lt;=DATE(2027,3,31),Cronograma!$G10&gt;=DATE(2027,3,1)),1,0)</f>
        <v/>
      </c>
      <c r="M9" s="31">
        <f>IF(AND(Cronograma!$F10&lt;=DATE(2027,4,30),Cronograma!$G10&gt;=DATE(2027,4,1)),1,0)</f>
        <v/>
      </c>
      <c r="N9" s="31">
        <f>IF(AND(Cronograma!$F10&lt;=DATE(2027,5,31),Cronograma!$G10&gt;=DATE(2027,5,1)),1,0)</f>
        <v/>
      </c>
      <c r="O9" s="31">
        <f>IF(AND(Cronograma!$F10&lt;=DATE(2027,6,30),Cronograma!$G10&gt;=DATE(2027,6,1)),1,0)</f>
        <v/>
      </c>
      <c r="P9" s="31">
        <f>IF(AND(Cronograma!$F10&lt;=DATE(2027,7,31),Cronograma!$G10&gt;=DATE(2027,7,1)),1,0)</f>
        <v/>
      </c>
      <c r="Q9" s="31">
        <f>IF(AND(Cronograma!$F10&lt;=DATE(2027,8,31),Cronograma!$G10&gt;=DATE(2027,8,1)),1,0)</f>
        <v/>
      </c>
      <c r="R9" s="31">
        <f>IF(AND(Cronograma!$F10&lt;=DATE(2027,9,30),Cronograma!$G10&gt;=DATE(2027,9,1)),1,0)</f>
        <v/>
      </c>
      <c r="S9" s="31">
        <f>IF(AND(Cronograma!$F10&lt;=DATE(2027,10,31),Cronograma!$G10&gt;=DATE(2027,10,1)),1,0)</f>
        <v/>
      </c>
      <c r="T9" s="31">
        <f>IF(AND(Cronograma!$F10&lt;=DATE(2027,11,30),Cronograma!$G10&gt;=DATE(2027,11,1)),1,0)</f>
        <v/>
      </c>
      <c r="U9" s="31">
        <f>IF(AND(Cronograma!$F10&lt;=DATE(2027,12,31),Cronograma!$G10&gt;=DATE(2027,12,1)),1,0)</f>
        <v/>
      </c>
    </row>
    <row r="10" ht="15" customHeight="1">
      <c r="A10" s="8">
        <f>Cronograma!A11</f>
        <v/>
      </c>
      <c r="B10" s="27">
        <f>Cronograma!B11</f>
        <v/>
      </c>
      <c r="C10" s="28">
        <f>Cronograma!C11</f>
        <v/>
      </c>
      <c r="D10" s="29">
        <f>Cronograma!E11</f>
        <v/>
      </c>
      <c r="E10" s="31">
        <f>IF(AND(Cronograma!$F11&lt;=DATE(2026,8,31),Cronograma!$G11&gt;=DATE(2026,8,1)),1,0)</f>
        <v/>
      </c>
      <c r="F10" s="30">
        <f>IF(AND(Cronograma!$F11&lt;=DATE(2026,9,30),Cronograma!$G11&gt;=DATE(2026,9,1)),1,0)</f>
        <v/>
      </c>
      <c r="G10" s="31">
        <f>IF(AND(Cronograma!$F11&lt;=DATE(2026,10,31),Cronograma!$G11&gt;=DATE(2026,10,1)),1,0)</f>
        <v/>
      </c>
      <c r="H10" s="31">
        <f>IF(AND(Cronograma!$F11&lt;=DATE(2026,11,30),Cronograma!$G11&gt;=DATE(2026,11,1)),1,0)</f>
        <v/>
      </c>
      <c r="I10" s="31">
        <f>IF(AND(Cronograma!$F11&lt;=DATE(2026,12,31),Cronograma!$G11&gt;=DATE(2026,12,1)),1,0)</f>
        <v/>
      </c>
      <c r="J10" s="31">
        <f>IF(AND(Cronograma!$F11&lt;=DATE(2027,1,31),Cronograma!$G11&gt;=DATE(2027,1,1)),1,0)</f>
        <v/>
      </c>
      <c r="K10" s="31">
        <f>IF(AND(Cronograma!$F11&lt;=DATE(2027,2,28),Cronograma!$G11&gt;=DATE(2027,2,1)),1,0)</f>
        <v/>
      </c>
      <c r="L10" s="31">
        <f>IF(AND(Cronograma!$F11&lt;=DATE(2027,3,31),Cronograma!$G11&gt;=DATE(2027,3,1)),1,0)</f>
        <v/>
      </c>
      <c r="M10" s="31">
        <f>IF(AND(Cronograma!$F11&lt;=DATE(2027,4,30),Cronograma!$G11&gt;=DATE(2027,4,1)),1,0)</f>
        <v/>
      </c>
      <c r="N10" s="31">
        <f>IF(AND(Cronograma!$F11&lt;=DATE(2027,5,31),Cronograma!$G11&gt;=DATE(2027,5,1)),1,0)</f>
        <v/>
      </c>
      <c r="O10" s="31">
        <f>IF(AND(Cronograma!$F11&lt;=DATE(2027,6,30),Cronograma!$G11&gt;=DATE(2027,6,1)),1,0)</f>
        <v/>
      </c>
      <c r="P10" s="31">
        <f>IF(AND(Cronograma!$F11&lt;=DATE(2027,7,31),Cronograma!$G11&gt;=DATE(2027,7,1)),1,0)</f>
        <v/>
      </c>
      <c r="Q10" s="31">
        <f>IF(AND(Cronograma!$F11&lt;=DATE(2027,8,31),Cronograma!$G11&gt;=DATE(2027,8,1)),1,0)</f>
        <v/>
      </c>
      <c r="R10" s="31">
        <f>IF(AND(Cronograma!$F11&lt;=DATE(2027,9,30),Cronograma!$G11&gt;=DATE(2027,9,1)),1,0)</f>
        <v/>
      </c>
      <c r="S10" s="31">
        <f>IF(AND(Cronograma!$F11&lt;=DATE(2027,10,31),Cronograma!$G11&gt;=DATE(2027,10,1)),1,0)</f>
        <v/>
      </c>
      <c r="T10" s="31">
        <f>IF(AND(Cronograma!$F11&lt;=DATE(2027,11,30),Cronograma!$G11&gt;=DATE(2027,11,1)),1,0)</f>
        <v/>
      </c>
      <c r="U10" s="31">
        <f>IF(AND(Cronograma!$F11&lt;=DATE(2027,12,31),Cronograma!$G11&gt;=DATE(2027,12,1)),1,0)</f>
        <v/>
      </c>
    </row>
    <row r="11" ht="15" customHeight="1">
      <c r="A11" s="8">
        <f>Cronograma!A12</f>
        <v/>
      </c>
      <c r="B11" s="27">
        <f>Cronograma!B12</f>
        <v/>
      </c>
      <c r="C11" s="28">
        <f>Cronograma!C12</f>
        <v/>
      </c>
      <c r="D11" s="29">
        <f>Cronograma!E12</f>
        <v/>
      </c>
      <c r="E11" s="31">
        <f>IF(AND(Cronograma!$F12&lt;=DATE(2026,8,31),Cronograma!$G12&gt;=DATE(2026,8,1)),1,0)</f>
        <v/>
      </c>
      <c r="F11" s="31">
        <f>IF(AND(Cronograma!$F12&lt;=DATE(2026,9,30),Cronograma!$G12&gt;=DATE(2026,9,1)),1,0)</f>
        <v/>
      </c>
      <c r="G11" s="30">
        <f>IF(AND(Cronograma!$F12&lt;=DATE(2026,10,31),Cronograma!$G12&gt;=DATE(2026,10,1)),1,0)</f>
        <v/>
      </c>
      <c r="H11" s="31">
        <f>IF(AND(Cronograma!$F12&lt;=DATE(2026,11,30),Cronograma!$G12&gt;=DATE(2026,11,1)),1,0)</f>
        <v/>
      </c>
      <c r="I11" s="31">
        <f>IF(AND(Cronograma!$F12&lt;=DATE(2026,12,31),Cronograma!$G12&gt;=DATE(2026,12,1)),1,0)</f>
        <v/>
      </c>
      <c r="J11" s="31">
        <f>IF(AND(Cronograma!$F12&lt;=DATE(2027,1,31),Cronograma!$G12&gt;=DATE(2027,1,1)),1,0)</f>
        <v/>
      </c>
      <c r="K11" s="31">
        <f>IF(AND(Cronograma!$F12&lt;=DATE(2027,2,28),Cronograma!$G12&gt;=DATE(2027,2,1)),1,0)</f>
        <v/>
      </c>
      <c r="L11" s="31">
        <f>IF(AND(Cronograma!$F12&lt;=DATE(2027,3,31),Cronograma!$G12&gt;=DATE(2027,3,1)),1,0)</f>
        <v/>
      </c>
      <c r="M11" s="31">
        <f>IF(AND(Cronograma!$F12&lt;=DATE(2027,4,30),Cronograma!$G12&gt;=DATE(2027,4,1)),1,0)</f>
        <v/>
      </c>
      <c r="N11" s="31">
        <f>IF(AND(Cronograma!$F12&lt;=DATE(2027,5,31),Cronograma!$G12&gt;=DATE(2027,5,1)),1,0)</f>
        <v/>
      </c>
      <c r="O11" s="31">
        <f>IF(AND(Cronograma!$F12&lt;=DATE(2027,6,30),Cronograma!$G12&gt;=DATE(2027,6,1)),1,0)</f>
        <v/>
      </c>
      <c r="P11" s="31">
        <f>IF(AND(Cronograma!$F12&lt;=DATE(2027,7,31),Cronograma!$G12&gt;=DATE(2027,7,1)),1,0)</f>
        <v/>
      </c>
      <c r="Q11" s="31">
        <f>IF(AND(Cronograma!$F12&lt;=DATE(2027,8,31),Cronograma!$G12&gt;=DATE(2027,8,1)),1,0)</f>
        <v/>
      </c>
      <c r="R11" s="31">
        <f>IF(AND(Cronograma!$F12&lt;=DATE(2027,9,30),Cronograma!$G12&gt;=DATE(2027,9,1)),1,0)</f>
        <v/>
      </c>
      <c r="S11" s="31">
        <f>IF(AND(Cronograma!$F12&lt;=DATE(2027,10,31),Cronograma!$G12&gt;=DATE(2027,10,1)),1,0)</f>
        <v/>
      </c>
      <c r="T11" s="31">
        <f>IF(AND(Cronograma!$F12&lt;=DATE(2027,11,30),Cronograma!$G12&gt;=DATE(2027,11,1)),1,0)</f>
        <v/>
      </c>
      <c r="U11" s="31">
        <f>IF(AND(Cronograma!$F12&lt;=DATE(2027,12,31),Cronograma!$G12&gt;=DATE(2027,12,1)),1,0)</f>
        <v/>
      </c>
    </row>
    <row r="12" ht="15" customHeight="1">
      <c r="A12" s="8">
        <f>Cronograma!A13</f>
        <v/>
      </c>
      <c r="B12" s="27">
        <f>Cronograma!B13</f>
        <v/>
      </c>
      <c r="C12" s="28">
        <f>Cronograma!C13</f>
        <v/>
      </c>
      <c r="D12" s="29">
        <f>Cronograma!E13</f>
        <v/>
      </c>
      <c r="E12" s="31">
        <f>IF(AND(Cronograma!$F13&lt;=DATE(2026,8,31),Cronograma!$G13&gt;=DATE(2026,8,1)),1,0)</f>
        <v/>
      </c>
      <c r="F12" s="31">
        <f>IF(AND(Cronograma!$F13&lt;=DATE(2026,9,30),Cronograma!$G13&gt;=DATE(2026,9,1)),1,0)</f>
        <v/>
      </c>
      <c r="G12" s="30">
        <f>IF(AND(Cronograma!$F13&lt;=DATE(2026,10,31),Cronograma!$G13&gt;=DATE(2026,10,1)),1,0)</f>
        <v/>
      </c>
      <c r="H12" s="31">
        <f>IF(AND(Cronograma!$F13&lt;=DATE(2026,11,30),Cronograma!$G13&gt;=DATE(2026,11,1)),1,0)</f>
        <v/>
      </c>
      <c r="I12" s="31">
        <f>IF(AND(Cronograma!$F13&lt;=DATE(2026,12,31),Cronograma!$G13&gt;=DATE(2026,12,1)),1,0)</f>
        <v/>
      </c>
      <c r="J12" s="31">
        <f>IF(AND(Cronograma!$F13&lt;=DATE(2027,1,31),Cronograma!$G13&gt;=DATE(2027,1,1)),1,0)</f>
        <v/>
      </c>
      <c r="K12" s="31">
        <f>IF(AND(Cronograma!$F13&lt;=DATE(2027,2,28),Cronograma!$G13&gt;=DATE(2027,2,1)),1,0)</f>
        <v/>
      </c>
      <c r="L12" s="31">
        <f>IF(AND(Cronograma!$F13&lt;=DATE(2027,3,31),Cronograma!$G13&gt;=DATE(2027,3,1)),1,0)</f>
        <v/>
      </c>
      <c r="M12" s="31">
        <f>IF(AND(Cronograma!$F13&lt;=DATE(2027,4,30),Cronograma!$G13&gt;=DATE(2027,4,1)),1,0)</f>
        <v/>
      </c>
      <c r="N12" s="31">
        <f>IF(AND(Cronograma!$F13&lt;=DATE(2027,5,31),Cronograma!$G13&gt;=DATE(2027,5,1)),1,0)</f>
        <v/>
      </c>
      <c r="O12" s="31">
        <f>IF(AND(Cronograma!$F13&lt;=DATE(2027,6,30),Cronograma!$G13&gt;=DATE(2027,6,1)),1,0)</f>
        <v/>
      </c>
      <c r="P12" s="31">
        <f>IF(AND(Cronograma!$F13&lt;=DATE(2027,7,31),Cronograma!$G13&gt;=DATE(2027,7,1)),1,0)</f>
        <v/>
      </c>
      <c r="Q12" s="31">
        <f>IF(AND(Cronograma!$F13&lt;=DATE(2027,8,31),Cronograma!$G13&gt;=DATE(2027,8,1)),1,0)</f>
        <v/>
      </c>
      <c r="R12" s="31">
        <f>IF(AND(Cronograma!$F13&lt;=DATE(2027,9,30),Cronograma!$G13&gt;=DATE(2027,9,1)),1,0)</f>
        <v/>
      </c>
      <c r="S12" s="31">
        <f>IF(AND(Cronograma!$F13&lt;=DATE(2027,10,31),Cronograma!$G13&gt;=DATE(2027,10,1)),1,0)</f>
        <v/>
      </c>
      <c r="T12" s="31">
        <f>IF(AND(Cronograma!$F13&lt;=DATE(2027,11,30),Cronograma!$G13&gt;=DATE(2027,11,1)),1,0)</f>
        <v/>
      </c>
      <c r="U12" s="31">
        <f>IF(AND(Cronograma!$F13&lt;=DATE(2027,12,31),Cronograma!$G13&gt;=DATE(2027,12,1)),1,0)</f>
        <v/>
      </c>
    </row>
    <row r="13" ht="15" customHeight="1">
      <c r="A13" s="8">
        <f>Cronograma!A14</f>
        <v/>
      </c>
      <c r="B13" s="27">
        <f>Cronograma!B14</f>
        <v/>
      </c>
      <c r="C13" s="28">
        <f>Cronograma!C14</f>
        <v/>
      </c>
      <c r="D13" s="29">
        <f>Cronograma!E14</f>
        <v/>
      </c>
      <c r="E13" s="31">
        <f>IF(AND(Cronograma!$F14&lt;=DATE(2026,8,31),Cronograma!$G14&gt;=DATE(2026,8,1)),1,0)</f>
        <v/>
      </c>
      <c r="F13" s="31">
        <f>IF(AND(Cronograma!$F14&lt;=DATE(2026,9,30),Cronograma!$G14&gt;=DATE(2026,9,1)),1,0)</f>
        <v/>
      </c>
      <c r="G13" s="30">
        <f>IF(AND(Cronograma!$F14&lt;=DATE(2026,10,31),Cronograma!$G14&gt;=DATE(2026,10,1)),1,0)</f>
        <v/>
      </c>
      <c r="H13" s="31">
        <f>IF(AND(Cronograma!$F14&lt;=DATE(2026,11,30),Cronograma!$G14&gt;=DATE(2026,11,1)),1,0)</f>
        <v/>
      </c>
      <c r="I13" s="31">
        <f>IF(AND(Cronograma!$F14&lt;=DATE(2026,12,31),Cronograma!$G14&gt;=DATE(2026,12,1)),1,0)</f>
        <v/>
      </c>
      <c r="J13" s="31">
        <f>IF(AND(Cronograma!$F14&lt;=DATE(2027,1,31),Cronograma!$G14&gt;=DATE(2027,1,1)),1,0)</f>
        <v/>
      </c>
      <c r="K13" s="31">
        <f>IF(AND(Cronograma!$F14&lt;=DATE(2027,2,28),Cronograma!$G14&gt;=DATE(2027,2,1)),1,0)</f>
        <v/>
      </c>
      <c r="L13" s="31">
        <f>IF(AND(Cronograma!$F14&lt;=DATE(2027,3,31),Cronograma!$G14&gt;=DATE(2027,3,1)),1,0)</f>
        <v/>
      </c>
      <c r="M13" s="31">
        <f>IF(AND(Cronograma!$F14&lt;=DATE(2027,4,30),Cronograma!$G14&gt;=DATE(2027,4,1)),1,0)</f>
        <v/>
      </c>
      <c r="N13" s="31">
        <f>IF(AND(Cronograma!$F14&lt;=DATE(2027,5,31),Cronograma!$G14&gt;=DATE(2027,5,1)),1,0)</f>
        <v/>
      </c>
      <c r="O13" s="31">
        <f>IF(AND(Cronograma!$F14&lt;=DATE(2027,6,30),Cronograma!$G14&gt;=DATE(2027,6,1)),1,0)</f>
        <v/>
      </c>
      <c r="P13" s="31">
        <f>IF(AND(Cronograma!$F14&lt;=DATE(2027,7,31),Cronograma!$G14&gt;=DATE(2027,7,1)),1,0)</f>
        <v/>
      </c>
      <c r="Q13" s="31">
        <f>IF(AND(Cronograma!$F14&lt;=DATE(2027,8,31),Cronograma!$G14&gt;=DATE(2027,8,1)),1,0)</f>
        <v/>
      </c>
      <c r="R13" s="31">
        <f>IF(AND(Cronograma!$F14&lt;=DATE(2027,9,30),Cronograma!$G14&gt;=DATE(2027,9,1)),1,0)</f>
        <v/>
      </c>
      <c r="S13" s="31">
        <f>IF(AND(Cronograma!$F14&lt;=DATE(2027,10,31),Cronograma!$G14&gt;=DATE(2027,10,1)),1,0)</f>
        <v/>
      </c>
      <c r="T13" s="31">
        <f>IF(AND(Cronograma!$F14&lt;=DATE(2027,11,30),Cronograma!$G14&gt;=DATE(2027,11,1)),1,0)</f>
        <v/>
      </c>
      <c r="U13" s="31">
        <f>IF(AND(Cronograma!$F14&lt;=DATE(2027,12,31),Cronograma!$G14&gt;=DATE(2027,12,1)),1,0)</f>
        <v/>
      </c>
    </row>
    <row r="14" ht="15" customHeight="1">
      <c r="A14" s="8">
        <f>Cronograma!A15</f>
        <v/>
      </c>
      <c r="B14" s="27">
        <f>Cronograma!B15</f>
        <v/>
      </c>
      <c r="C14" s="28">
        <f>Cronograma!C15</f>
        <v/>
      </c>
      <c r="D14" s="29">
        <f>Cronograma!E15</f>
        <v/>
      </c>
      <c r="E14" s="31">
        <f>IF(AND(Cronograma!$F15&lt;=DATE(2026,8,31),Cronograma!$G15&gt;=DATE(2026,8,1)),1,0)</f>
        <v/>
      </c>
      <c r="F14" s="31">
        <f>IF(AND(Cronograma!$F15&lt;=DATE(2026,9,30),Cronograma!$G15&gt;=DATE(2026,9,1)),1,0)</f>
        <v/>
      </c>
      <c r="G14" s="30">
        <f>IF(AND(Cronograma!$F15&lt;=DATE(2026,10,31),Cronograma!$G15&gt;=DATE(2026,10,1)),1,0)</f>
        <v/>
      </c>
      <c r="H14" s="30">
        <f>IF(AND(Cronograma!$F15&lt;=DATE(2026,11,30),Cronograma!$G15&gt;=DATE(2026,11,1)),1,0)</f>
        <v/>
      </c>
      <c r="I14" s="30">
        <f>IF(AND(Cronograma!$F15&lt;=DATE(2026,12,31),Cronograma!$G15&gt;=DATE(2026,12,1)),1,0)</f>
        <v/>
      </c>
      <c r="J14" s="30">
        <f>IF(AND(Cronograma!$F15&lt;=DATE(2027,1,31),Cronograma!$G15&gt;=DATE(2027,1,1)),1,0)</f>
        <v/>
      </c>
      <c r="K14" s="30">
        <f>IF(AND(Cronograma!$F15&lt;=DATE(2027,2,28),Cronograma!$G15&gt;=DATE(2027,2,1)),1,0)</f>
        <v/>
      </c>
      <c r="L14" s="31">
        <f>IF(AND(Cronograma!$F15&lt;=DATE(2027,3,31),Cronograma!$G15&gt;=DATE(2027,3,1)),1,0)</f>
        <v/>
      </c>
      <c r="M14" s="31">
        <f>IF(AND(Cronograma!$F15&lt;=DATE(2027,4,30),Cronograma!$G15&gt;=DATE(2027,4,1)),1,0)</f>
        <v/>
      </c>
      <c r="N14" s="31">
        <f>IF(AND(Cronograma!$F15&lt;=DATE(2027,5,31),Cronograma!$G15&gt;=DATE(2027,5,1)),1,0)</f>
        <v/>
      </c>
      <c r="O14" s="31">
        <f>IF(AND(Cronograma!$F15&lt;=DATE(2027,6,30),Cronograma!$G15&gt;=DATE(2027,6,1)),1,0)</f>
        <v/>
      </c>
      <c r="P14" s="31">
        <f>IF(AND(Cronograma!$F15&lt;=DATE(2027,7,31),Cronograma!$G15&gt;=DATE(2027,7,1)),1,0)</f>
        <v/>
      </c>
      <c r="Q14" s="31">
        <f>IF(AND(Cronograma!$F15&lt;=DATE(2027,8,31),Cronograma!$G15&gt;=DATE(2027,8,1)),1,0)</f>
        <v/>
      </c>
      <c r="R14" s="31">
        <f>IF(AND(Cronograma!$F15&lt;=DATE(2027,9,30),Cronograma!$G15&gt;=DATE(2027,9,1)),1,0)</f>
        <v/>
      </c>
      <c r="S14" s="31">
        <f>IF(AND(Cronograma!$F15&lt;=DATE(2027,10,31),Cronograma!$G15&gt;=DATE(2027,10,1)),1,0)</f>
        <v/>
      </c>
      <c r="T14" s="31">
        <f>IF(AND(Cronograma!$F15&lt;=DATE(2027,11,30),Cronograma!$G15&gt;=DATE(2027,11,1)),1,0)</f>
        <v/>
      </c>
      <c r="U14" s="31">
        <f>IF(AND(Cronograma!$F15&lt;=DATE(2027,12,31),Cronograma!$G15&gt;=DATE(2027,12,1)),1,0)</f>
        <v/>
      </c>
    </row>
    <row r="15" ht="15" customHeight="1">
      <c r="A15" s="8">
        <f>Cronograma!A16</f>
        <v/>
      </c>
      <c r="B15" s="27">
        <f>Cronograma!B16</f>
        <v/>
      </c>
      <c r="C15" s="28">
        <f>Cronograma!C16</f>
        <v/>
      </c>
      <c r="D15" s="29">
        <f>Cronograma!E16</f>
        <v/>
      </c>
      <c r="E15" s="31">
        <f>IF(AND(Cronograma!$F16&lt;=DATE(2026,8,31),Cronograma!$G16&gt;=DATE(2026,8,1)),1,0)</f>
        <v/>
      </c>
      <c r="F15" s="31">
        <f>IF(AND(Cronograma!$F16&lt;=DATE(2026,9,30),Cronograma!$G16&gt;=DATE(2026,9,1)),1,0)</f>
        <v/>
      </c>
      <c r="G15" s="31">
        <f>IF(AND(Cronograma!$F16&lt;=DATE(2026,10,31),Cronograma!$G16&gt;=DATE(2026,10,1)),1,0)</f>
        <v/>
      </c>
      <c r="H15" s="31">
        <f>IF(AND(Cronograma!$F16&lt;=DATE(2026,11,30),Cronograma!$G16&gt;=DATE(2026,11,1)),1,0)</f>
        <v/>
      </c>
      <c r="I15" s="31">
        <f>IF(AND(Cronograma!$F16&lt;=DATE(2026,12,31),Cronograma!$G16&gt;=DATE(2026,12,1)),1,0)</f>
        <v/>
      </c>
      <c r="J15" s="31">
        <f>IF(AND(Cronograma!$F16&lt;=DATE(2027,1,31),Cronograma!$G16&gt;=DATE(2027,1,1)),1,0)</f>
        <v/>
      </c>
      <c r="K15" s="30">
        <f>IF(AND(Cronograma!$F16&lt;=DATE(2027,2,28),Cronograma!$G16&gt;=DATE(2027,2,1)),1,0)</f>
        <v/>
      </c>
      <c r="L15" s="31">
        <f>IF(AND(Cronograma!$F16&lt;=DATE(2027,3,31),Cronograma!$G16&gt;=DATE(2027,3,1)),1,0)</f>
        <v/>
      </c>
      <c r="M15" s="31">
        <f>IF(AND(Cronograma!$F16&lt;=DATE(2027,4,30),Cronograma!$G16&gt;=DATE(2027,4,1)),1,0)</f>
        <v/>
      </c>
      <c r="N15" s="31">
        <f>IF(AND(Cronograma!$F16&lt;=DATE(2027,5,31),Cronograma!$G16&gt;=DATE(2027,5,1)),1,0)</f>
        <v/>
      </c>
      <c r="O15" s="31">
        <f>IF(AND(Cronograma!$F16&lt;=DATE(2027,6,30),Cronograma!$G16&gt;=DATE(2027,6,1)),1,0)</f>
        <v/>
      </c>
      <c r="P15" s="31">
        <f>IF(AND(Cronograma!$F16&lt;=DATE(2027,7,31),Cronograma!$G16&gt;=DATE(2027,7,1)),1,0)</f>
        <v/>
      </c>
      <c r="Q15" s="31">
        <f>IF(AND(Cronograma!$F16&lt;=DATE(2027,8,31),Cronograma!$G16&gt;=DATE(2027,8,1)),1,0)</f>
        <v/>
      </c>
      <c r="R15" s="31">
        <f>IF(AND(Cronograma!$F16&lt;=DATE(2027,9,30),Cronograma!$G16&gt;=DATE(2027,9,1)),1,0)</f>
        <v/>
      </c>
      <c r="S15" s="31">
        <f>IF(AND(Cronograma!$F16&lt;=DATE(2027,10,31),Cronograma!$G16&gt;=DATE(2027,10,1)),1,0)</f>
        <v/>
      </c>
      <c r="T15" s="31">
        <f>IF(AND(Cronograma!$F16&lt;=DATE(2027,11,30),Cronograma!$G16&gt;=DATE(2027,11,1)),1,0)</f>
        <v/>
      </c>
      <c r="U15" s="31">
        <f>IF(AND(Cronograma!$F16&lt;=DATE(2027,12,31),Cronograma!$G16&gt;=DATE(2027,12,1)),1,0)</f>
        <v/>
      </c>
    </row>
    <row r="16" ht="15" customHeight="1">
      <c r="A16" s="8">
        <f>Cronograma!A17</f>
        <v/>
      </c>
      <c r="B16" s="32">
        <f>Cronograma!B17</f>
        <v/>
      </c>
      <c r="C16" s="28">
        <f>Cronograma!C17</f>
        <v/>
      </c>
      <c r="D16" s="29">
        <f>Cronograma!E17</f>
        <v/>
      </c>
      <c r="E16" s="31">
        <f>IF(AND(Cronograma!$F17&lt;=DATE(2026,8,31),Cronograma!$G17&gt;=DATE(2026,8,1)),1,0)</f>
        <v/>
      </c>
      <c r="F16" s="31">
        <f>IF(AND(Cronograma!$F17&lt;=DATE(2026,9,30),Cronograma!$G17&gt;=DATE(2026,9,1)),1,0)</f>
        <v/>
      </c>
      <c r="G16" s="31">
        <f>IF(AND(Cronograma!$F17&lt;=DATE(2026,10,31),Cronograma!$G17&gt;=DATE(2026,10,1)),1,0)</f>
        <v/>
      </c>
      <c r="H16" s="31">
        <f>IF(AND(Cronograma!$F17&lt;=DATE(2026,11,30),Cronograma!$G17&gt;=DATE(2026,11,1)),1,0)</f>
        <v/>
      </c>
      <c r="I16" s="31">
        <f>IF(AND(Cronograma!$F17&lt;=DATE(2026,12,31),Cronograma!$G17&gt;=DATE(2026,12,1)),1,0)</f>
        <v/>
      </c>
      <c r="J16" s="31">
        <f>IF(AND(Cronograma!$F17&lt;=DATE(2027,1,31),Cronograma!$G17&gt;=DATE(2027,1,1)),1,0)</f>
        <v/>
      </c>
      <c r="K16" s="31">
        <f>IF(AND(Cronograma!$F17&lt;=DATE(2027,2,28),Cronograma!$G17&gt;=DATE(2027,2,1)),1,0)</f>
        <v/>
      </c>
      <c r="L16" s="33">
        <f>IF(AND(Cronograma!$F17&lt;=DATE(2027,3,31),Cronograma!$G17&gt;=DATE(2027,3,1)),1,0)</f>
        <v/>
      </c>
      <c r="M16" s="31">
        <f>IF(AND(Cronograma!$F17&lt;=DATE(2027,4,30),Cronograma!$G17&gt;=DATE(2027,4,1)),1,0)</f>
        <v/>
      </c>
      <c r="N16" s="31">
        <f>IF(AND(Cronograma!$F17&lt;=DATE(2027,5,31),Cronograma!$G17&gt;=DATE(2027,5,1)),1,0)</f>
        <v/>
      </c>
      <c r="O16" s="31">
        <f>IF(AND(Cronograma!$F17&lt;=DATE(2027,6,30),Cronograma!$G17&gt;=DATE(2027,6,1)),1,0)</f>
        <v/>
      </c>
      <c r="P16" s="31">
        <f>IF(AND(Cronograma!$F17&lt;=DATE(2027,7,31),Cronograma!$G17&gt;=DATE(2027,7,1)),1,0)</f>
        <v/>
      </c>
      <c r="Q16" s="31">
        <f>IF(AND(Cronograma!$F17&lt;=DATE(2027,8,31),Cronograma!$G17&gt;=DATE(2027,8,1)),1,0)</f>
        <v/>
      </c>
      <c r="R16" s="31">
        <f>IF(AND(Cronograma!$F17&lt;=DATE(2027,9,30),Cronograma!$G17&gt;=DATE(2027,9,1)),1,0)</f>
        <v/>
      </c>
      <c r="S16" s="31">
        <f>IF(AND(Cronograma!$F17&lt;=DATE(2027,10,31),Cronograma!$G17&gt;=DATE(2027,10,1)),1,0)</f>
        <v/>
      </c>
      <c r="T16" s="31">
        <f>IF(AND(Cronograma!$F17&lt;=DATE(2027,11,30),Cronograma!$G17&gt;=DATE(2027,11,1)),1,0)</f>
        <v/>
      </c>
      <c r="U16" s="31">
        <f>IF(AND(Cronograma!$F17&lt;=DATE(2027,12,31),Cronograma!$G17&gt;=DATE(2027,12,1)),1,0)</f>
        <v/>
      </c>
    </row>
    <row r="17" ht="15" customHeight="1">
      <c r="A17" s="8">
        <f>Cronograma!A18</f>
        <v/>
      </c>
      <c r="B17" s="32">
        <f>Cronograma!B18</f>
        <v/>
      </c>
      <c r="C17" s="28">
        <f>Cronograma!C18</f>
        <v/>
      </c>
      <c r="D17" s="29">
        <f>Cronograma!E18</f>
        <v/>
      </c>
      <c r="E17" s="31">
        <f>IF(AND(Cronograma!$F18&lt;=DATE(2026,8,31),Cronograma!$G18&gt;=DATE(2026,8,1)),1,0)</f>
        <v/>
      </c>
      <c r="F17" s="31">
        <f>IF(AND(Cronograma!$F18&lt;=DATE(2026,9,30),Cronograma!$G18&gt;=DATE(2026,9,1)),1,0)</f>
        <v/>
      </c>
      <c r="G17" s="31">
        <f>IF(AND(Cronograma!$F18&lt;=DATE(2026,10,31),Cronograma!$G18&gt;=DATE(2026,10,1)),1,0)</f>
        <v/>
      </c>
      <c r="H17" s="31">
        <f>IF(AND(Cronograma!$F18&lt;=DATE(2026,11,30),Cronograma!$G18&gt;=DATE(2026,11,1)),1,0)</f>
        <v/>
      </c>
      <c r="I17" s="31">
        <f>IF(AND(Cronograma!$F18&lt;=DATE(2026,12,31),Cronograma!$G18&gt;=DATE(2026,12,1)),1,0)</f>
        <v/>
      </c>
      <c r="J17" s="31">
        <f>IF(AND(Cronograma!$F18&lt;=DATE(2027,1,31),Cronograma!$G18&gt;=DATE(2027,1,1)),1,0)</f>
        <v/>
      </c>
      <c r="K17" s="31">
        <f>IF(AND(Cronograma!$F18&lt;=DATE(2027,2,28),Cronograma!$G18&gt;=DATE(2027,2,1)),1,0)</f>
        <v/>
      </c>
      <c r="L17" s="33">
        <f>IF(AND(Cronograma!$F18&lt;=DATE(2027,3,31),Cronograma!$G18&gt;=DATE(2027,3,1)),1,0)</f>
        <v/>
      </c>
      <c r="M17" s="31">
        <f>IF(AND(Cronograma!$F18&lt;=DATE(2027,4,30),Cronograma!$G18&gt;=DATE(2027,4,1)),1,0)</f>
        <v/>
      </c>
      <c r="N17" s="31">
        <f>IF(AND(Cronograma!$F18&lt;=DATE(2027,5,31),Cronograma!$G18&gt;=DATE(2027,5,1)),1,0)</f>
        <v/>
      </c>
      <c r="O17" s="31">
        <f>IF(AND(Cronograma!$F18&lt;=DATE(2027,6,30),Cronograma!$G18&gt;=DATE(2027,6,1)),1,0)</f>
        <v/>
      </c>
      <c r="P17" s="31">
        <f>IF(AND(Cronograma!$F18&lt;=DATE(2027,7,31),Cronograma!$G18&gt;=DATE(2027,7,1)),1,0)</f>
        <v/>
      </c>
      <c r="Q17" s="31">
        <f>IF(AND(Cronograma!$F18&lt;=DATE(2027,8,31),Cronograma!$G18&gt;=DATE(2027,8,1)),1,0)</f>
        <v/>
      </c>
      <c r="R17" s="31">
        <f>IF(AND(Cronograma!$F18&lt;=DATE(2027,9,30),Cronograma!$G18&gt;=DATE(2027,9,1)),1,0)</f>
        <v/>
      </c>
      <c r="S17" s="31">
        <f>IF(AND(Cronograma!$F18&lt;=DATE(2027,10,31),Cronograma!$G18&gt;=DATE(2027,10,1)),1,0)</f>
        <v/>
      </c>
      <c r="T17" s="31">
        <f>IF(AND(Cronograma!$F18&lt;=DATE(2027,11,30),Cronograma!$G18&gt;=DATE(2027,11,1)),1,0)</f>
        <v/>
      </c>
      <c r="U17" s="31">
        <f>IF(AND(Cronograma!$F18&lt;=DATE(2027,12,31),Cronograma!$G18&gt;=DATE(2027,12,1)),1,0)</f>
        <v/>
      </c>
    </row>
    <row r="18" ht="15" customHeight="1">
      <c r="A18" s="8">
        <f>Cronograma!A19</f>
        <v/>
      </c>
      <c r="B18" s="32">
        <f>Cronograma!B19</f>
        <v/>
      </c>
      <c r="C18" s="28">
        <f>Cronograma!C19</f>
        <v/>
      </c>
      <c r="D18" s="29">
        <f>Cronograma!E19</f>
        <v/>
      </c>
      <c r="E18" s="31">
        <f>IF(AND(Cronograma!$F19&lt;=DATE(2026,8,31),Cronograma!$G19&gt;=DATE(2026,8,1)),1,0)</f>
        <v/>
      </c>
      <c r="F18" s="31">
        <f>IF(AND(Cronograma!$F19&lt;=DATE(2026,9,30),Cronograma!$G19&gt;=DATE(2026,9,1)),1,0)</f>
        <v/>
      </c>
      <c r="G18" s="31">
        <f>IF(AND(Cronograma!$F19&lt;=DATE(2026,10,31),Cronograma!$G19&gt;=DATE(2026,10,1)),1,0)</f>
        <v/>
      </c>
      <c r="H18" s="31">
        <f>IF(AND(Cronograma!$F19&lt;=DATE(2026,11,30),Cronograma!$G19&gt;=DATE(2026,11,1)),1,0)</f>
        <v/>
      </c>
      <c r="I18" s="31">
        <f>IF(AND(Cronograma!$F19&lt;=DATE(2026,12,31),Cronograma!$G19&gt;=DATE(2026,12,1)),1,0)</f>
        <v/>
      </c>
      <c r="J18" s="31">
        <f>IF(AND(Cronograma!$F19&lt;=DATE(2027,1,31),Cronograma!$G19&gt;=DATE(2027,1,1)),1,0)</f>
        <v/>
      </c>
      <c r="K18" s="31">
        <f>IF(AND(Cronograma!$F19&lt;=DATE(2027,2,28),Cronograma!$G19&gt;=DATE(2027,2,1)),1,0)</f>
        <v/>
      </c>
      <c r="L18" s="33">
        <f>IF(AND(Cronograma!$F19&lt;=DATE(2027,3,31),Cronograma!$G19&gt;=DATE(2027,3,1)),1,0)</f>
        <v/>
      </c>
      <c r="M18" s="33">
        <f>IF(AND(Cronograma!$F19&lt;=DATE(2027,4,30),Cronograma!$G19&gt;=DATE(2027,4,1)),1,0)</f>
        <v/>
      </c>
      <c r="N18" s="31">
        <f>IF(AND(Cronograma!$F19&lt;=DATE(2027,5,31),Cronograma!$G19&gt;=DATE(2027,5,1)),1,0)</f>
        <v/>
      </c>
      <c r="O18" s="31">
        <f>IF(AND(Cronograma!$F19&lt;=DATE(2027,6,30),Cronograma!$G19&gt;=DATE(2027,6,1)),1,0)</f>
        <v/>
      </c>
      <c r="P18" s="31">
        <f>IF(AND(Cronograma!$F19&lt;=DATE(2027,7,31),Cronograma!$G19&gt;=DATE(2027,7,1)),1,0)</f>
        <v/>
      </c>
      <c r="Q18" s="31">
        <f>IF(AND(Cronograma!$F19&lt;=DATE(2027,8,31),Cronograma!$G19&gt;=DATE(2027,8,1)),1,0)</f>
        <v/>
      </c>
      <c r="R18" s="31">
        <f>IF(AND(Cronograma!$F19&lt;=DATE(2027,9,30),Cronograma!$G19&gt;=DATE(2027,9,1)),1,0)</f>
        <v/>
      </c>
      <c r="S18" s="31">
        <f>IF(AND(Cronograma!$F19&lt;=DATE(2027,10,31),Cronograma!$G19&gt;=DATE(2027,10,1)),1,0)</f>
        <v/>
      </c>
      <c r="T18" s="31">
        <f>IF(AND(Cronograma!$F19&lt;=DATE(2027,11,30),Cronograma!$G19&gt;=DATE(2027,11,1)),1,0)</f>
        <v/>
      </c>
      <c r="U18" s="31">
        <f>IF(AND(Cronograma!$F19&lt;=DATE(2027,12,31),Cronograma!$G19&gt;=DATE(2027,12,1)),1,0)</f>
        <v/>
      </c>
    </row>
    <row r="19" ht="15" customHeight="1">
      <c r="A19" s="8">
        <f>Cronograma!A20</f>
        <v/>
      </c>
      <c r="B19" s="32">
        <f>Cronograma!B20</f>
        <v/>
      </c>
      <c r="C19" s="28">
        <f>Cronograma!C20</f>
        <v/>
      </c>
      <c r="D19" s="29">
        <f>Cronograma!E20</f>
        <v/>
      </c>
      <c r="E19" s="31">
        <f>IF(AND(Cronograma!$F20&lt;=DATE(2026,8,31),Cronograma!$G20&gt;=DATE(2026,8,1)),1,0)</f>
        <v/>
      </c>
      <c r="F19" s="31">
        <f>IF(AND(Cronograma!$F20&lt;=DATE(2026,9,30),Cronograma!$G20&gt;=DATE(2026,9,1)),1,0)</f>
        <v/>
      </c>
      <c r="G19" s="31">
        <f>IF(AND(Cronograma!$F20&lt;=DATE(2026,10,31),Cronograma!$G20&gt;=DATE(2026,10,1)),1,0)</f>
        <v/>
      </c>
      <c r="H19" s="31">
        <f>IF(AND(Cronograma!$F20&lt;=DATE(2026,11,30),Cronograma!$G20&gt;=DATE(2026,11,1)),1,0)</f>
        <v/>
      </c>
      <c r="I19" s="31">
        <f>IF(AND(Cronograma!$F20&lt;=DATE(2026,12,31),Cronograma!$G20&gt;=DATE(2026,12,1)),1,0)</f>
        <v/>
      </c>
      <c r="J19" s="31">
        <f>IF(AND(Cronograma!$F20&lt;=DATE(2027,1,31),Cronograma!$G20&gt;=DATE(2027,1,1)),1,0)</f>
        <v/>
      </c>
      <c r="K19" s="31">
        <f>IF(AND(Cronograma!$F20&lt;=DATE(2027,2,28),Cronograma!$G20&gt;=DATE(2027,2,1)),1,0)</f>
        <v/>
      </c>
      <c r="L19" s="33">
        <f>IF(AND(Cronograma!$F20&lt;=DATE(2027,3,31),Cronograma!$G20&gt;=DATE(2027,3,1)),1,0)</f>
        <v/>
      </c>
      <c r="M19" s="31">
        <f>IF(AND(Cronograma!$F20&lt;=DATE(2027,4,30),Cronograma!$G20&gt;=DATE(2027,4,1)),1,0)</f>
        <v/>
      </c>
      <c r="N19" s="31">
        <f>IF(AND(Cronograma!$F20&lt;=DATE(2027,5,31),Cronograma!$G20&gt;=DATE(2027,5,1)),1,0)</f>
        <v/>
      </c>
      <c r="O19" s="31">
        <f>IF(AND(Cronograma!$F20&lt;=DATE(2027,6,30),Cronograma!$G20&gt;=DATE(2027,6,1)),1,0)</f>
        <v/>
      </c>
      <c r="P19" s="31">
        <f>IF(AND(Cronograma!$F20&lt;=DATE(2027,7,31),Cronograma!$G20&gt;=DATE(2027,7,1)),1,0)</f>
        <v/>
      </c>
      <c r="Q19" s="31">
        <f>IF(AND(Cronograma!$F20&lt;=DATE(2027,8,31),Cronograma!$G20&gt;=DATE(2027,8,1)),1,0)</f>
        <v/>
      </c>
      <c r="R19" s="31">
        <f>IF(AND(Cronograma!$F20&lt;=DATE(2027,9,30),Cronograma!$G20&gt;=DATE(2027,9,1)),1,0)</f>
        <v/>
      </c>
      <c r="S19" s="31">
        <f>IF(AND(Cronograma!$F20&lt;=DATE(2027,10,31),Cronograma!$G20&gt;=DATE(2027,10,1)),1,0)</f>
        <v/>
      </c>
      <c r="T19" s="31">
        <f>IF(AND(Cronograma!$F20&lt;=DATE(2027,11,30),Cronograma!$G20&gt;=DATE(2027,11,1)),1,0)</f>
        <v/>
      </c>
      <c r="U19" s="31">
        <f>IF(AND(Cronograma!$F20&lt;=DATE(2027,12,31),Cronograma!$G20&gt;=DATE(2027,12,1)),1,0)</f>
        <v/>
      </c>
    </row>
    <row r="20" ht="15" customHeight="1">
      <c r="A20" s="8">
        <f>Cronograma!A21</f>
        <v/>
      </c>
      <c r="B20" s="32">
        <f>Cronograma!B21</f>
        <v/>
      </c>
      <c r="C20" s="28">
        <f>Cronograma!C21</f>
        <v/>
      </c>
      <c r="D20" s="29">
        <f>Cronograma!E21</f>
        <v/>
      </c>
      <c r="E20" s="31">
        <f>IF(AND(Cronograma!$F21&lt;=DATE(2026,8,31),Cronograma!$G21&gt;=DATE(2026,8,1)),1,0)</f>
        <v/>
      </c>
      <c r="F20" s="31">
        <f>IF(AND(Cronograma!$F21&lt;=DATE(2026,9,30),Cronograma!$G21&gt;=DATE(2026,9,1)),1,0)</f>
        <v/>
      </c>
      <c r="G20" s="31">
        <f>IF(AND(Cronograma!$F21&lt;=DATE(2026,10,31),Cronograma!$G21&gt;=DATE(2026,10,1)),1,0)</f>
        <v/>
      </c>
      <c r="H20" s="31">
        <f>IF(AND(Cronograma!$F21&lt;=DATE(2026,11,30),Cronograma!$G21&gt;=DATE(2026,11,1)),1,0)</f>
        <v/>
      </c>
      <c r="I20" s="31">
        <f>IF(AND(Cronograma!$F21&lt;=DATE(2026,12,31),Cronograma!$G21&gt;=DATE(2026,12,1)),1,0)</f>
        <v/>
      </c>
      <c r="J20" s="31">
        <f>IF(AND(Cronograma!$F21&lt;=DATE(2027,1,31),Cronograma!$G21&gt;=DATE(2027,1,1)),1,0)</f>
        <v/>
      </c>
      <c r="K20" s="31">
        <f>IF(AND(Cronograma!$F21&lt;=DATE(2027,2,28),Cronograma!$G21&gt;=DATE(2027,2,1)),1,0)</f>
        <v/>
      </c>
      <c r="L20" s="33">
        <f>IF(AND(Cronograma!$F21&lt;=DATE(2027,3,31),Cronograma!$G21&gt;=DATE(2027,3,1)),1,0)</f>
        <v/>
      </c>
      <c r="M20" s="31">
        <f>IF(AND(Cronograma!$F21&lt;=DATE(2027,4,30),Cronograma!$G21&gt;=DATE(2027,4,1)),1,0)</f>
        <v/>
      </c>
      <c r="N20" s="31">
        <f>IF(AND(Cronograma!$F21&lt;=DATE(2027,5,31),Cronograma!$G21&gt;=DATE(2027,5,1)),1,0)</f>
        <v/>
      </c>
      <c r="O20" s="31">
        <f>IF(AND(Cronograma!$F21&lt;=DATE(2027,6,30),Cronograma!$G21&gt;=DATE(2027,6,1)),1,0)</f>
        <v/>
      </c>
      <c r="P20" s="31">
        <f>IF(AND(Cronograma!$F21&lt;=DATE(2027,7,31),Cronograma!$G21&gt;=DATE(2027,7,1)),1,0)</f>
        <v/>
      </c>
      <c r="Q20" s="31">
        <f>IF(AND(Cronograma!$F21&lt;=DATE(2027,8,31),Cronograma!$G21&gt;=DATE(2027,8,1)),1,0)</f>
        <v/>
      </c>
      <c r="R20" s="31">
        <f>IF(AND(Cronograma!$F21&lt;=DATE(2027,9,30),Cronograma!$G21&gt;=DATE(2027,9,1)),1,0)</f>
        <v/>
      </c>
      <c r="S20" s="31">
        <f>IF(AND(Cronograma!$F21&lt;=DATE(2027,10,31),Cronograma!$G21&gt;=DATE(2027,10,1)),1,0)</f>
        <v/>
      </c>
      <c r="T20" s="31">
        <f>IF(AND(Cronograma!$F21&lt;=DATE(2027,11,30),Cronograma!$G21&gt;=DATE(2027,11,1)),1,0)</f>
        <v/>
      </c>
      <c r="U20" s="31">
        <f>IF(AND(Cronograma!$F21&lt;=DATE(2027,12,31),Cronograma!$G21&gt;=DATE(2027,12,1)),1,0)</f>
        <v/>
      </c>
    </row>
    <row r="21" ht="15" customHeight="1">
      <c r="A21" s="8">
        <f>Cronograma!A22</f>
        <v/>
      </c>
      <c r="B21" s="32">
        <f>Cronograma!B22</f>
        <v/>
      </c>
      <c r="C21" s="28">
        <f>Cronograma!C22</f>
        <v/>
      </c>
      <c r="D21" s="29">
        <f>Cronograma!E22</f>
        <v/>
      </c>
      <c r="E21" s="31">
        <f>IF(AND(Cronograma!$F22&lt;=DATE(2026,8,31),Cronograma!$G22&gt;=DATE(2026,8,1)),1,0)</f>
        <v/>
      </c>
      <c r="F21" s="31">
        <f>IF(AND(Cronograma!$F22&lt;=DATE(2026,9,30),Cronograma!$G22&gt;=DATE(2026,9,1)),1,0)</f>
        <v/>
      </c>
      <c r="G21" s="31">
        <f>IF(AND(Cronograma!$F22&lt;=DATE(2026,10,31),Cronograma!$G22&gt;=DATE(2026,10,1)),1,0)</f>
        <v/>
      </c>
      <c r="H21" s="31">
        <f>IF(AND(Cronograma!$F22&lt;=DATE(2026,11,30),Cronograma!$G22&gt;=DATE(2026,11,1)),1,0)</f>
        <v/>
      </c>
      <c r="I21" s="31">
        <f>IF(AND(Cronograma!$F22&lt;=DATE(2026,12,31),Cronograma!$G22&gt;=DATE(2026,12,1)),1,0)</f>
        <v/>
      </c>
      <c r="J21" s="31">
        <f>IF(AND(Cronograma!$F22&lt;=DATE(2027,1,31),Cronograma!$G22&gt;=DATE(2027,1,1)),1,0)</f>
        <v/>
      </c>
      <c r="K21" s="31">
        <f>IF(AND(Cronograma!$F22&lt;=DATE(2027,2,28),Cronograma!$G22&gt;=DATE(2027,2,1)),1,0)</f>
        <v/>
      </c>
      <c r="L21" s="33">
        <f>IF(AND(Cronograma!$F22&lt;=DATE(2027,3,31),Cronograma!$G22&gt;=DATE(2027,3,1)),1,0)</f>
        <v/>
      </c>
      <c r="M21" s="33">
        <f>IF(AND(Cronograma!$F22&lt;=DATE(2027,4,30),Cronograma!$G22&gt;=DATE(2027,4,1)),1,0)</f>
        <v/>
      </c>
      <c r="N21" s="31">
        <f>IF(AND(Cronograma!$F22&lt;=DATE(2027,5,31),Cronograma!$G22&gt;=DATE(2027,5,1)),1,0)</f>
        <v/>
      </c>
      <c r="O21" s="31">
        <f>IF(AND(Cronograma!$F22&lt;=DATE(2027,6,30),Cronograma!$G22&gt;=DATE(2027,6,1)),1,0)</f>
        <v/>
      </c>
      <c r="P21" s="31">
        <f>IF(AND(Cronograma!$F22&lt;=DATE(2027,7,31),Cronograma!$G22&gt;=DATE(2027,7,1)),1,0)</f>
        <v/>
      </c>
      <c r="Q21" s="31">
        <f>IF(AND(Cronograma!$F22&lt;=DATE(2027,8,31),Cronograma!$G22&gt;=DATE(2027,8,1)),1,0)</f>
        <v/>
      </c>
      <c r="R21" s="31">
        <f>IF(AND(Cronograma!$F22&lt;=DATE(2027,9,30),Cronograma!$G22&gt;=DATE(2027,9,1)),1,0)</f>
        <v/>
      </c>
      <c r="S21" s="31">
        <f>IF(AND(Cronograma!$F22&lt;=DATE(2027,10,31),Cronograma!$G22&gt;=DATE(2027,10,1)),1,0)</f>
        <v/>
      </c>
      <c r="T21" s="31">
        <f>IF(AND(Cronograma!$F22&lt;=DATE(2027,11,30),Cronograma!$G22&gt;=DATE(2027,11,1)),1,0)</f>
        <v/>
      </c>
      <c r="U21" s="31">
        <f>IF(AND(Cronograma!$F22&lt;=DATE(2027,12,31),Cronograma!$G22&gt;=DATE(2027,12,1)),1,0)</f>
        <v/>
      </c>
    </row>
    <row r="22" ht="15" customHeight="1">
      <c r="A22" s="8">
        <f>Cronograma!A23</f>
        <v/>
      </c>
      <c r="B22" s="32">
        <f>Cronograma!B23</f>
        <v/>
      </c>
      <c r="C22" s="28">
        <f>Cronograma!C23</f>
        <v/>
      </c>
      <c r="D22" s="29">
        <f>Cronograma!E23</f>
        <v/>
      </c>
      <c r="E22" s="31">
        <f>IF(AND(Cronograma!$F23&lt;=DATE(2026,8,31),Cronograma!$G23&gt;=DATE(2026,8,1)),1,0)</f>
        <v/>
      </c>
      <c r="F22" s="31">
        <f>IF(AND(Cronograma!$F23&lt;=DATE(2026,9,30),Cronograma!$G23&gt;=DATE(2026,9,1)),1,0)</f>
        <v/>
      </c>
      <c r="G22" s="31">
        <f>IF(AND(Cronograma!$F23&lt;=DATE(2026,10,31),Cronograma!$G23&gt;=DATE(2026,10,1)),1,0)</f>
        <v/>
      </c>
      <c r="H22" s="31">
        <f>IF(AND(Cronograma!$F23&lt;=DATE(2026,11,30),Cronograma!$G23&gt;=DATE(2026,11,1)),1,0)</f>
        <v/>
      </c>
      <c r="I22" s="31">
        <f>IF(AND(Cronograma!$F23&lt;=DATE(2026,12,31),Cronograma!$G23&gt;=DATE(2026,12,1)),1,0)</f>
        <v/>
      </c>
      <c r="J22" s="31">
        <f>IF(AND(Cronograma!$F23&lt;=DATE(2027,1,31),Cronograma!$G23&gt;=DATE(2027,1,1)),1,0)</f>
        <v/>
      </c>
      <c r="K22" s="31">
        <f>IF(AND(Cronograma!$F23&lt;=DATE(2027,2,28),Cronograma!$G23&gt;=DATE(2027,2,1)),1,0)</f>
        <v/>
      </c>
      <c r="L22" s="33">
        <f>IF(AND(Cronograma!$F23&lt;=DATE(2027,3,31),Cronograma!$G23&gt;=DATE(2027,3,1)),1,0)</f>
        <v/>
      </c>
      <c r="M22" s="31">
        <f>IF(AND(Cronograma!$F23&lt;=DATE(2027,4,30),Cronograma!$G23&gt;=DATE(2027,4,1)),1,0)</f>
        <v/>
      </c>
      <c r="N22" s="31">
        <f>IF(AND(Cronograma!$F23&lt;=DATE(2027,5,31),Cronograma!$G23&gt;=DATE(2027,5,1)),1,0)</f>
        <v/>
      </c>
      <c r="O22" s="31">
        <f>IF(AND(Cronograma!$F23&lt;=DATE(2027,6,30),Cronograma!$G23&gt;=DATE(2027,6,1)),1,0)</f>
        <v/>
      </c>
      <c r="P22" s="31">
        <f>IF(AND(Cronograma!$F23&lt;=DATE(2027,7,31),Cronograma!$G23&gt;=DATE(2027,7,1)),1,0)</f>
        <v/>
      </c>
      <c r="Q22" s="31">
        <f>IF(AND(Cronograma!$F23&lt;=DATE(2027,8,31),Cronograma!$G23&gt;=DATE(2027,8,1)),1,0)</f>
        <v/>
      </c>
      <c r="R22" s="31">
        <f>IF(AND(Cronograma!$F23&lt;=DATE(2027,9,30),Cronograma!$G23&gt;=DATE(2027,9,1)),1,0)</f>
        <v/>
      </c>
      <c r="S22" s="31">
        <f>IF(AND(Cronograma!$F23&lt;=DATE(2027,10,31),Cronograma!$G23&gt;=DATE(2027,10,1)),1,0)</f>
        <v/>
      </c>
      <c r="T22" s="31">
        <f>IF(AND(Cronograma!$F23&lt;=DATE(2027,11,30),Cronograma!$G23&gt;=DATE(2027,11,1)),1,0)</f>
        <v/>
      </c>
      <c r="U22" s="31">
        <f>IF(AND(Cronograma!$F23&lt;=DATE(2027,12,31),Cronograma!$G23&gt;=DATE(2027,12,1)),1,0)</f>
        <v/>
      </c>
    </row>
    <row r="23" ht="15" customHeight="1">
      <c r="A23" s="8">
        <f>Cronograma!A24</f>
        <v/>
      </c>
      <c r="B23" s="32">
        <f>Cronograma!B24</f>
        <v/>
      </c>
      <c r="C23" s="28">
        <f>Cronograma!C24</f>
        <v/>
      </c>
      <c r="D23" s="29">
        <f>Cronograma!E24</f>
        <v/>
      </c>
      <c r="E23" s="31">
        <f>IF(AND(Cronograma!$F24&lt;=DATE(2026,8,31),Cronograma!$G24&gt;=DATE(2026,8,1)),1,0)</f>
        <v/>
      </c>
      <c r="F23" s="31">
        <f>IF(AND(Cronograma!$F24&lt;=DATE(2026,9,30),Cronograma!$G24&gt;=DATE(2026,9,1)),1,0)</f>
        <v/>
      </c>
      <c r="G23" s="31">
        <f>IF(AND(Cronograma!$F24&lt;=DATE(2026,10,31),Cronograma!$G24&gt;=DATE(2026,10,1)),1,0)</f>
        <v/>
      </c>
      <c r="H23" s="31">
        <f>IF(AND(Cronograma!$F24&lt;=DATE(2026,11,30),Cronograma!$G24&gt;=DATE(2026,11,1)),1,0)</f>
        <v/>
      </c>
      <c r="I23" s="31">
        <f>IF(AND(Cronograma!$F24&lt;=DATE(2026,12,31),Cronograma!$G24&gt;=DATE(2026,12,1)),1,0)</f>
        <v/>
      </c>
      <c r="J23" s="31">
        <f>IF(AND(Cronograma!$F24&lt;=DATE(2027,1,31),Cronograma!$G24&gt;=DATE(2027,1,1)),1,0)</f>
        <v/>
      </c>
      <c r="K23" s="31">
        <f>IF(AND(Cronograma!$F24&lt;=DATE(2027,2,28),Cronograma!$G24&gt;=DATE(2027,2,1)),1,0)</f>
        <v/>
      </c>
      <c r="L23" s="33">
        <f>IF(AND(Cronograma!$F24&lt;=DATE(2027,3,31),Cronograma!$G24&gt;=DATE(2027,3,1)),1,0)</f>
        <v/>
      </c>
      <c r="M23" s="31">
        <f>IF(AND(Cronograma!$F24&lt;=DATE(2027,4,30),Cronograma!$G24&gt;=DATE(2027,4,1)),1,0)</f>
        <v/>
      </c>
      <c r="N23" s="31">
        <f>IF(AND(Cronograma!$F24&lt;=DATE(2027,5,31),Cronograma!$G24&gt;=DATE(2027,5,1)),1,0)</f>
        <v/>
      </c>
      <c r="O23" s="31">
        <f>IF(AND(Cronograma!$F24&lt;=DATE(2027,6,30),Cronograma!$G24&gt;=DATE(2027,6,1)),1,0)</f>
        <v/>
      </c>
      <c r="P23" s="31">
        <f>IF(AND(Cronograma!$F24&lt;=DATE(2027,7,31),Cronograma!$G24&gt;=DATE(2027,7,1)),1,0)</f>
        <v/>
      </c>
      <c r="Q23" s="31">
        <f>IF(AND(Cronograma!$F24&lt;=DATE(2027,8,31),Cronograma!$G24&gt;=DATE(2027,8,1)),1,0)</f>
        <v/>
      </c>
      <c r="R23" s="31">
        <f>IF(AND(Cronograma!$F24&lt;=DATE(2027,9,30),Cronograma!$G24&gt;=DATE(2027,9,1)),1,0)</f>
        <v/>
      </c>
      <c r="S23" s="31">
        <f>IF(AND(Cronograma!$F24&lt;=DATE(2027,10,31),Cronograma!$G24&gt;=DATE(2027,10,1)),1,0)</f>
        <v/>
      </c>
      <c r="T23" s="31">
        <f>IF(AND(Cronograma!$F24&lt;=DATE(2027,11,30),Cronograma!$G24&gt;=DATE(2027,11,1)),1,0)</f>
        <v/>
      </c>
      <c r="U23" s="31">
        <f>IF(AND(Cronograma!$F24&lt;=DATE(2027,12,31),Cronograma!$G24&gt;=DATE(2027,12,1)),1,0)</f>
        <v/>
      </c>
    </row>
    <row r="24" ht="15" customHeight="1">
      <c r="A24" s="8">
        <f>Cronograma!A25</f>
        <v/>
      </c>
      <c r="B24" s="32">
        <f>Cronograma!B25</f>
        <v/>
      </c>
      <c r="C24" s="28">
        <f>Cronograma!C25</f>
        <v/>
      </c>
      <c r="D24" s="29">
        <f>Cronograma!E25</f>
        <v/>
      </c>
      <c r="E24" s="31">
        <f>IF(AND(Cronograma!$F25&lt;=DATE(2026,8,31),Cronograma!$G25&gt;=DATE(2026,8,1)),1,0)</f>
        <v/>
      </c>
      <c r="F24" s="31">
        <f>IF(AND(Cronograma!$F25&lt;=DATE(2026,9,30),Cronograma!$G25&gt;=DATE(2026,9,1)),1,0)</f>
        <v/>
      </c>
      <c r="G24" s="31">
        <f>IF(AND(Cronograma!$F25&lt;=DATE(2026,10,31),Cronograma!$G25&gt;=DATE(2026,10,1)),1,0)</f>
        <v/>
      </c>
      <c r="H24" s="31">
        <f>IF(AND(Cronograma!$F25&lt;=DATE(2026,11,30),Cronograma!$G25&gt;=DATE(2026,11,1)),1,0)</f>
        <v/>
      </c>
      <c r="I24" s="31">
        <f>IF(AND(Cronograma!$F25&lt;=DATE(2026,12,31),Cronograma!$G25&gt;=DATE(2026,12,1)),1,0)</f>
        <v/>
      </c>
      <c r="J24" s="31">
        <f>IF(AND(Cronograma!$F25&lt;=DATE(2027,1,31),Cronograma!$G25&gt;=DATE(2027,1,1)),1,0)</f>
        <v/>
      </c>
      <c r="K24" s="31">
        <f>IF(AND(Cronograma!$F25&lt;=DATE(2027,2,28),Cronograma!$G25&gt;=DATE(2027,2,1)),1,0)</f>
        <v/>
      </c>
      <c r="L24" s="33">
        <f>IF(AND(Cronograma!$F25&lt;=DATE(2027,3,31),Cronograma!$G25&gt;=DATE(2027,3,1)),1,0)</f>
        <v/>
      </c>
      <c r="M24" s="33">
        <f>IF(AND(Cronograma!$F25&lt;=DATE(2027,4,30),Cronograma!$G25&gt;=DATE(2027,4,1)),1,0)</f>
        <v/>
      </c>
      <c r="N24" s="31">
        <f>IF(AND(Cronograma!$F25&lt;=DATE(2027,5,31),Cronograma!$G25&gt;=DATE(2027,5,1)),1,0)</f>
        <v/>
      </c>
      <c r="O24" s="31">
        <f>IF(AND(Cronograma!$F25&lt;=DATE(2027,6,30),Cronograma!$G25&gt;=DATE(2027,6,1)),1,0)</f>
        <v/>
      </c>
      <c r="P24" s="31">
        <f>IF(AND(Cronograma!$F25&lt;=DATE(2027,7,31),Cronograma!$G25&gt;=DATE(2027,7,1)),1,0)</f>
        <v/>
      </c>
      <c r="Q24" s="31">
        <f>IF(AND(Cronograma!$F25&lt;=DATE(2027,8,31),Cronograma!$G25&gt;=DATE(2027,8,1)),1,0)</f>
        <v/>
      </c>
      <c r="R24" s="31">
        <f>IF(AND(Cronograma!$F25&lt;=DATE(2027,9,30),Cronograma!$G25&gt;=DATE(2027,9,1)),1,0)</f>
        <v/>
      </c>
      <c r="S24" s="31">
        <f>IF(AND(Cronograma!$F25&lt;=DATE(2027,10,31),Cronograma!$G25&gt;=DATE(2027,10,1)),1,0)</f>
        <v/>
      </c>
      <c r="T24" s="31">
        <f>IF(AND(Cronograma!$F25&lt;=DATE(2027,11,30),Cronograma!$G25&gt;=DATE(2027,11,1)),1,0)</f>
        <v/>
      </c>
      <c r="U24" s="31">
        <f>IF(AND(Cronograma!$F25&lt;=DATE(2027,12,31),Cronograma!$G25&gt;=DATE(2027,12,1)),1,0)</f>
        <v/>
      </c>
    </row>
    <row r="25" ht="15" customHeight="1">
      <c r="A25" s="8">
        <f>Cronograma!A26</f>
        <v/>
      </c>
      <c r="B25" s="32">
        <f>Cronograma!B26</f>
        <v/>
      </c>
      <c r="C25" s="28">
        <f>Cronograma!C26</f>
        <v/>
      </c>
      <c r="D25" s="29">
        <f>Cronograma!E26</f>
        <v/>
      </c>
      <c r="E25" s="31">
        <f>IF(AND(Cronograma!$F26&lt;=DATE(2026,8,31),Cronograma!$G26&gt;=DATE(2026,8,1)),1,0)</f>
        <v/>
      </c>
      <c r="F25" s="31">
        <f>IF(AND(Cronograma!$F26&lt;=DATE(2026,9,30),Cronograma!$G26&gt;=DATE(2026,9,1)),1,0)</f>
        <v/>
      </c>
      <c r="G25" s="31">
        <f>IF(AND(Cronograma!$F26&lt;=DATE(2026,10,31),Cronograma!$G26&gt;=DATE(2026,10,1)),1,0)</f>
        <v/>
      </c>
      <c r="H25" s="31">
        <f>IF(AND(Cronograma!$F26&lt;=DATE(2026,11,30),Cronograma!$G26&gt;=DATE(2026,11,1)),1,0)</f>
        <v/>
      </c>
      <c r="I25" s="31">
        <f>IF(AND(Cronograma!$F26&lt;=DATE(2026,12,31),Cronograma!$G26&gt;=DATE(2026,12,1)),1,0)</f>
        <v/>
      </c>
      <c r="J25" s="31">
        <f>IF(AND(Cronograma!$F26&lt;=DATE(2027,1,31),Cronograma!$G26&gt;=DATE(2027,1,1)),1,0)</f>
        <v/>
      </c>
      <c r="K25" s="31">
        <f>IF(AND(Cronograma!$F26&lt;=DATE(2027,2,28),Cronograma!$G26&gt;=DATE(2027,2,1)),1,0)</f>
        <v/>
      </c>
      <c r="L25" s="33">
        <f>IF(AND(Cronograma!$F26&lt;=DATE(2027,3,31),Cronograma!$G26&gt;=DATE(2027,3,1)),1,0)</f>
        <v/>
      </c>
      <c r="M25" s="31">
        <f>IF(AND(Cronograma!$F26&lt;=DATE(2027,4,30),Cronograma!$G26&gt;=DATE(2027,4,1)),1,0)</f>
        <v/>
      </c>
      <c r="N25" s="31">
        <f>IF(AND(Cronograma!$F26&lt;=DATE(2027,5,31),Cronograma!$G26&gt;=DATE(2027,5,1)),1,0)</f>
        <v/>
      </c>
      <c r="O25" s="31">
        <f>IF(AND(Cronograma!$F26&lt;=DATE(2027,6,30),Cronograma!$G26&gt;=DATE(2027,6,1)),1,0)</f>
        <v/>
      </c>
      <c r="P25" s="31">
        <f>IF(AND(Cronograma!$F26&lt;=DATE(2027,7,31),Cronograma!$G26&gt;=DATE(2027,7,1)),1,0)</f>
        <v/>
      </c>
      <c r="Q25" s="31">
        <f>IF(AND(Cronograma!$F26&lt;=DATE(2027,8,31),Cronograma!$G26&gt;=DATE(2027,8,1)),1,0)</f>
        <v/>
      </c>
      <c r="R25" s="31">
        <f>IF(AND(Cronograma!$F26&lt;=DATE(2027,9,30),Cronograma!$G26&gt;=DATE(2027,9,1)),1,0)</f>
        <v/>
      </c>
      <c r="S25" s="31">
        <f>IF(AND(Cronograma!$F26&lt;=DATE(2027,10,31),Cronograma!$G26&gt;=DATE(2027,10,1)),1,0)</f>
        <v/>
      </c>
      <c r="T25" s="31">
        <f>IF(AND(Cronograma!$F26&lt;=DATE(2027,11,30),Cronograma!$G26&gt;=DATE(2027,11,1)),1,0)</f>
        <v/>
      </c>
      <c r="U25" s="31">
        <f>IF(AND(Cronograma!$F26&lt;=DATE(2027,12,31),Cronograma!$G26&gt;=DATE(2027,12,1)),1,0)</f>
        <v/>
      </c>
    </row>
    <row r="26" ht="15" customHeight="1">
      <c r="A26" s="8">
        <f>Cronograma!A27</f>
        <v/>
      </c>
      <c r="B26" s="32">
        <f>Cronograma!B27</f>
        <v/>
      </c>
      <c r="C26" s="28">
        <f>Cronograma!C27</f>
        <v/>
      </c>
      <c r="D26" s="29">
        <f>Cronograma!E27</f>
        <v/>
      </c>
      <c r="E26" s="31">
        <f>IF(AND(Cronograma!$F27&lt;=DATE(2026,8,31),Cronograma!$G27&gt;=DATE(2026,8,1)),1,0)</f>
        <v/>
      </c>
      <c r="F26" s="31">
        <f>IF(AND(Cronograma!$F27&lt;=DATE(2026,9,30),Cronograma!$G27&gt;=DATE(2026,9,1)),1,0)</f>
        <v/>
      </c>
      <c r="G26" s="31">
        <f>IF(AND(Cronograma!$F27&lt;=DATE(2026,10,31),Cronograma!$G27&gt;=DATE(2026,10,1)),1,0)</f>
        <v/>
      </c>
      <c r="H26" s="31">
        <f>IF(AND(Cronograma!$F27&lt;=DATE(2026,11,30),Cronograma!$G27&gt;=DATE(2026,11,1)),1,0)</f>
        <v/>
      </c>
      <c r="I26" s="31">
        <f>IF(AND(Cronograma!$F27&lt;=DATE(2026,12,31),Cronograma!$G27&gt;=DATE(2026,12,1)),1,0)</f>
        <v/>
      </c>
      <c r="J26" s="31">
        <f>IF(AND(Cronograma!$F27&lt;=DATE(2027,1,31),Cronograma!$G27&gt;=DATE(2027,1,1)),1,0)</f>
        <v/>
      </c>
      <c r="K26" s="31">
        <f>IF(AND(Cronograma!$F27&lt;=DATE(2027,2,28),Cronograma!$G27&gt;=DATE(2027,2,1)),1,0)</f>
        <v/>
      </c>
      <c r="L26" s="33">
        <f>IF(AND(Cronograma!$F27&lt;=DATE(2027,3,31),Cronograma!$G27&gt;=DATE(2027,3,1)),1,0)</f>
        <v/>
      </c>
      <c r="M26" s="31">
        <f>IF(AND(Cronograma!$F27&lt;=DATE(2027,4,30),Cronograma!$G27&gt;=DATE(2027,4,1)),1,0)</f>
        <v/>
      </c>
      <c r="N26" s="31">
        <f>IF(AND(Cronograma!$F27&lt;=DATE(2027,5,31),Cronograma!$G27&gt;=DATE(2027,5,1)),1,0)</f>
        <v/>
      </c>
      <c r="O26" s="31">
        <f>IF(AND(Cronograma!$F27&lt;=DATE(2027,6,30),Cronograma!$G27&gt;=DATE(2027,6,1)),1,0)</f>
        <v/>
      </c>
      <c r="P26" s="31">
        <f>IF(AND(Cronograma!$F27&lt;=DATE(2027,7,31),Cronograma!$G27&gt;=DATE(2027,7,1)),1,0)</f>
        <v/>
      </c>
      <c r="Q26" s="31">
        <f>IF(AND(Cronograma!$F27&lt;=DATE(2027,8,31),Cronograma!$G27&gt;=DATE(2027,8,1)),1,0)</f>
        <v/>
      </c>
      <c r="R26" s="31">
        <f>IF(AND(Cronograma!$F27&lt;=DATE(2027,9,30),Cronograma!$G27&gt;=DATE(2027,9,1)),1,0)</f>
        <v/>
      </c>
      <c r="S26" s="31">
        <f>IF(AND(Cronograma!$F27&lt;=DATE(2027,10,31),Cronograma!$G27&gt;=DATE(2027,10,1)),1,0)</f>
        <v/>
      </c>
      <c r="T26" s="31">
        <f>IF(AND(Cronograma!$F27&lt;=DATE(2027,11,30),Cronograma!$G27&gt;=DATE(2027,11,1)),1,0)</f>
        <v/>
      </c>
      <c r="U26" s="31">
        <f>IF(AND(Cronograma!$F27&lt;=DATE(2027,12,31),Cronograma!$G27&gt;=DATE(2027,12,1)),1,0)</f>
        <v/>
      </c>
    </row>
    <row r="27" ht="15" customHeight="1">
      <c r="A27" s="8">
        <f>Cronograma!A28</f>
        <v/>
      </c>
      <c r="B27" s="32">
        <f>Cronograma!B28</f>
        <v/>
      </c>
      <c r="C27" s="28">
        <f>Cronograma!C28</f>
        <v/>
      </c>
      <c r="D27" s="29">
        <f>Cronograma!E28</f>
        <v/>
      </c>
      <c r="E27" s="31">
        <f>IF(AND(Cronograma!$F28&lt;=DATE(2026,8,31),Cronograma!$G28&gt;=DATE(2026,8,1)),1,0)</f>
        <v/>
      </c>
      <c r="F27" s="31">
        <f>IF(AND(Cronograma!$F28&lt;=DATE(2026,9,30),Cronograma!$G28&gt;=DATE(2026,9,1)),1,0)</f>
        <v/>
      </c>
      <c r="G27" s="31">
        <f>IF(AND(Cronograma!$F28&lt;=DATE(2026,10,31),Cronograma!$G28&gt;=DATE(2026,10,1)),1,0)</f>
        <v/>
      </c>
      <c r="H27" s="31">
        <f>IF(AND(Cronograma!$F28&lt;=DATE(2026,11,30),Cronograma!$G28&gt;=DATE(2026,11,1)),1,0)</f>
        <v/>
      </c>
      <c r="I27" s="31">
        <f>IF(AND(Cronograma!$F28&lt;=DATE(2026,12,31),Cronograma!$G28&gt;=DATE(2026,12,1)),1,0)</f>
        <v/>
      </c>
      <c r="J27" s="31">
        <f>IF(AND(Cronograma!$F28&lt;=DATE(2027,1,31),Cronograma!$G28&gt;=DATE(2027,1,1)),1,0)</f>
        <v/>
      </c>
      <c r="K27" s="31">
        <f>IF(AND(Cronograma!$F28&lt;=DATE(2027,2,28),Cronograma!$G28&gt;=DATE(2027,2,1)),1,0)</f>
        <v/>
      </c>
      <c r="L27" s="33">
        <f>IF(AND(Cronograma!$F28&lt;=DATE(2027,3,31),Cronograma!$G28&gt;=DATE(2027,3,1)),1,0)</f>
        <v/>
      </c>
      <c r="M27" s="33">
        <f>IF(AND(Cronograma!$F28&lt;=DATE(2027,4,30),Cronograma!$G28&gt;=DATE(2027,4,1)),1,0)</f>
        <v/>
      </c>
      <c r="N27" s="31">
        <f>IF(AND(Cronograma!$F28&lt;=DATE(2027,5,31),Cronograma!$G28&gt;=DATE(2027,5,1)),1,0)</f>
        <v/>
      </c>
      <c r="O27" s="31">
        <f>IF(AND(Cronograma!$F28&lt;=DATE(2027,6,30),Cronograma!$G28&gt;=DATE(2027,6,1)),1,0)</f>
        <v/>
      </c>
      <c r="P27" s="31">
        <f>IF(AND(Cronograma!$F28&lt;=DATE(2027,7,31),Cronograma!$G28&gt;=DATE(2027,7,1)),1,0)</f>
        <v/>
      </c>
      <c r="Q27" s="31">
        <f>IF(AND(Cronograma!$F28&lt;=DATE(2027,8,31),Cronograma!$G28&gt;=DATE(2027,8,1)),1,0)</f>
        <v/>
      </c>
      <c r="R27" s="31">
        <f>IF(AND(Cronograma!$F28&lt;=DATE(2027,9,30),Cronograma!$G28&gt;=DATE(2027,9,1)),1,0)</f>
        <v/>
      </c>
      <c r="S27" s="31">
        <f>IF(AND(Cronograma!$F28&lt;=DATE(2027,10,31),Cronograma!$G28&gt;=DATE(2027,10,1)),1,0)</f>
        <v/>
      </c>
      <c r="T27" s="31">
        <f>IF(AND(Cronograma!$F28&lt;=DATE(2027,11,30),Cronograma!$G28&gt;=DATE(2027,11,1)),1,0)</f>
        <v/>
      </c>
      <c r="U27" s="31">
        <f>IF(AND(Cronograma!$F28&lt;=DATE(2027,12,31),Cronograma!$G28&gt;=DATE(2027,12,1)),1,0)</f>
        <v/>
      </c>
    </row>
    <row r="28" ht="15" customHeight="1">
      <c r="A28" s="8">
        <f>Cronograma!A29</f>
        <v/>
      </c>
      <c r="B28" s="32">
        <f>Cronograma!B29</f>
        <v/>
      </c>
      <c r="C28" s="28">
        <f>Cronograma!C29</f>
        <v/>
      </c>
      <c r="D28" s="29">
        <f>Cronograma!E29</f>
        <v/>
      </c>
      <c r="E28" s="31">
        <f>IF(AND(Cronograma!$F29&lt;=DATE(2026,8,31),Cronograma!$G29&gt;=DATE(2026,8,1)),1,0)</f>
        <v/>
      </c>
      <c r="F28" s="31">
        <f>IF(AND(Cronograma!$F29&lt;=DATE(2026,9,30),Cronograma!$G29&gt;=DATE(2026,9,1)),1,0)</f>
        <v/>
      </c>
      <c r="G28" s="31">
        <f>IF(AND(Cronograma!$F29&lt;=DATE(2026,10,31),Cronograma!$G29&gt;=DATE(2026,10,1)),1,0)</f>
        <v/>
      </c>
      <c r="H28" s="31">
        <f>IF(AND(Cronograma!$F29&lt;=DATE(2026,11,30),Cronograma!$G29&gt;=DATE(2026,11,1)),1,0)</f>
        <v/>
      </c>
      <c r="I28" s="31">
        <f>IF(AND(Cronograma!$F29&lt;=DATE(2026,12,31),Cronograma!$G29&gt;=DATE(2026,12,1)),1,0)</f>
        <v/>
      </c>
      <c r="J28" s="31">
        <f>IF(AND(Cronograma!$F29&lt;=DATE(2027,1,31),Cronograma!$G29&gt;=DATE(2027,1,1)),1,0)</f>
        <v/>
      </c>
      <c r="K28" s="31">
        <f>IF(AND(Cronograma!$F29&lt;=DATE(2027,2,28),Cronograma!$G29&gt;=DATE(2027,2,1)),1,0)</f>
        <v/>
      </c>
      <c r="L28" s="33">
        <f>IF(AND(Cronograma!$F29&lt;=DATE(2027,3,31),Cronograma!$G29&gt;=DATE(2027,3,1)),1,0)</f>
        <v/>
      </c>
      <c r="M28" s="31">
        <f>IF(AND(Cronograma!$F29&lt;=DATE(2027,4,30),Cronograma!$G29&gt;=DATE(2027,4,1)),1,0)</f>
        <v/>
      </c>
      <c r="N28" s="31">
        <f>IF(AND(Cronograma!$F29&lt;=DATE(2027,5,31),Cronograma!$G29&gt;=DATE(2027,5,1)),1,0)</f>
        <v/>
      </c>
      <c r="O28" s="31">
        <f>IF(AND(Cronograma!$F29&lt;=DATE(2027,6,30),Cronograma!$G29&gt;=DATE(2027,6,1)),1,0)</f>
        <v/>
      </c>
      <c r="P28" s="31">
        <f>IF(AND(Cronograma!$F29&lt;=DATE(2027,7,31),Cronograma!$G29&gt;=DATE(2027,7,1)),1,0)</f>
        <v/>
      </c>
      <c r="Q28" s="31">
        <f>IF(AND(Cronograma!$F29&lt;=DATE(2027,8,31),Cronograma!$G29&gt;=DATE(2027,8,1)),1,0)</f>
        <v/>
      </c>
      <c r="R28" s="31">
        <f>IF(AND(Cronograma!$F29&lt;=DATE(2027,9,30),Cronograma!$G29&gt;=DATE(2027,9,1)),1,0)</f>
        <v/>
      </c>
      <c r="S28" s="31">
        <f>IF(AND(Cronograma!$F29&lt;=DATE(2027,10,31),Cronograma!$G29&gt;=DATE(2027,10,1)),1,0)</f>
        <v/>
      </c>
      <c r="T28" s="31">
        <f>IF(AND(Cronograma!$F29&lt;=DATE(2027,11,30),Cronograma!$G29&gt;=DATE(2027,11,1)),1,0)</f>
        <v/>
      </c>
      <c r="U28" s="31">
        <f>IF(AND(Cronograma!$F29&lt;=DATE(2027,12,31),Cronograma!$G29&gt;=DATE(2027,12,1)),1,0)</f>
        <v/>
      </c>
    </row>
    <row r="29" ht="15" customHeight="1">
      <c r="A29" s="8">
        <f>Cronograma!A30</f>
        <v/>
      </c>
      <c r="B29" s="32">
        <f>Cronograma!B30</f>
        <v/>
      </c>
      <c r="C29" s="28">
        <f>Cronograma!C30</f>
        <v/>
      </c>
      <c r="D29" s="29">
        <f>Cronograma!E30</f>
        <v/>
      </c>
      <c r="E29" s="31">
        <f>IF(AND(Cronograma!$F30&lt;=DATE(2026,8,31),Cronograma!$G30&gt;=DATE(2026,8,1)),1,0)</f>
        <v/>
      </c>
      <c r="F29" s="31">
        <f>IF(AND(Cronograma!$F30&lt;=DATE(2026,9,30),Cronograma!$G30&gt;=DATE(2026,9,1)),1,0)</f>
        <v/>
      </c>
      <c r="G29" s="31">
        <f>IF(AND(Cronograma!$F30&lt;=DATE(2026,10,31),Cronograma!$G30&gt;=DATE(2026,10,1)),1,0)</f>
        <v/>
      </c>
      <c r="H29" s="31">
        <f>IF(AND(Cronograma!$F30&lt;=DATE(2026,11,30),Cronograma!$G30&gt;=DATE(2026,11,1)),1,0)</f>
        <v/>
      </c>
      <c r="I29" s="31">
        <f>IF(AND(Cronograma!$F30&lt;=DATE(2026,12,31),Cronograma!$G30&gt;=DATE(2026,12,1)),1,0)</f>
        <v/>
      </c>
      <c r="J29" s="31">
        <f>IF(AND(Cronograma!$F30&lt;=DATE(2027,1,31),Cronograma!$G30&gt;=DATE(2027,1,1)),1,0)</f>
        <v/>
      </c>
      <c r="K29" s="31">
        <f>IF(AND(Cronograma!$F30&lt;=DATE(2027,2,28),Cronograma!$G30&gt;=DATE(2027,2,1)),1,0)</f>
        <v/>
      </c>
      <c r="L29" s="33">
        <f>IF(AND(Cronograma!$F30&lt;=DATE(2027,3,31),Cronograma!$G30&gt;=DATE(2027,3,1)),1,0)</f>
        <v/>
      </c>
      <c r="M29" s="31">
        <f>IF(AND(Cronograma!$F30&lt;=DATE(2027,4,30),Cronograma!$G30&gt;=DATE(2027,4,1)),1,0)</f>
        <v/>
      </c>
      <c r="N29" s="31">
        <f>IF(AND(Cronograma!$F30&lt;=DATE(2027,5,31),Cronograma!$G30&gt;=DATE(2027,5,1)),1,0)</f>
        <v/>
      </c>
      <c r="O29" s="31">
        <f>IF(AND(Cronograma!$F30&lt;=DATE(2027,6,30),Cronograma!$G30&gt;=DATE(2027,6,1)),1,0)</f>
        <v/>
      </c>
      <c r="P29" s="31">
        <f>IF(AND(Cronograma!$F30&lt;=DATE(2027,7,31),Cronograma!$G30&gt;=DATE(2027,7,1)),1,0)</f>
        <v/>
      </c>
      <c r="Q29" s="31">
        <f>IF(AND(Cronograma!$F30&lt;=DATE(2027,8,31),Cronograma!$G30&gt;=DATE(2027,8,1)),1,0)</f>
        <v/>
      </c>
      <c r="R29" s="31">
        <f>IF(AND(Cronograma!$F30&lt;=DATE(2027,9,30),Cronograma!$G30&gt;=DATE(2027,9,1)),1,0)</f>
        <v/>
      </c>
      <c r="S29" s="31">
        <f>IF(AND(Cronograma!$F30&lt;=DATE(2027,10,31),Cronograma!$G30&gt;=DATE(2027,10,1)),1,0)</f>
        <v/>
      </c>
      <c r="T29" s="31">
        <f>IF(AND(Cronograma!$F30&lt;=DATE(2027,11,30),Cronograma!$G30&gt;=DATE(2027,11,1)),1,0)</f>
        <v/>
      </c>
      <c r="U29" s="31">
        <f>IF(AND(Cronograma!$F30&lt;=DATE(2027,12,31),Cronograma!$G30&gt;=DATE(2027,12,1)),1,0)</f>
        <v/>
      </c>
    </row>
    <row r="30" ht="15" customHeight="1">
      <c r="A30" s="8">
        <f>Cronograma!A31</f>
        <v/>
      </c>
      <c r="B30" s="32">
        <f>Cronograma!B31</f>
        <v/>
      </c>
      <c r="C30" s="28">
        <f>Cronograma!C31</f>
        <v/>
      </c>
      <c r="D30" s="29">
        <f>Cronograma!E31</f>
        <v/>
      </c>
      <c r="E30" s="31">
        <f>IF(AND(Cronograma!$F31&lt;=DATE(2026,8,31),Cronograma!$G31&gt;=DATE(2026,8,1)),1,0)</f>
        <v/>
      </c>
      <c r="F30" s="31">
        <f>IF(AND(Cronograma!$F31&lt;=DATE(2026,9,30),Cronograma!$G31&gt;=DATE(2026,9,1)),1,0)</f>
        <v/>
      </c>
      <c r="G30" s="31">
        <f>IF(AND(Cronograma!$F31&lt;=DATE(2026,10,31),Cronograma!$G31&gt;=DATE(2026,10,1)),1,0)</f>
        <v/>
      </c>
      <c r="H30" s="31">
        <f>IF(AND(Cronograma!$F31&lt;=DATE(2026,11,30),Cronograma!$G31&gt;=DATE(2026,11,1)),1,0)</f>
        <v/>
      </c>
      <c r="I30" s="31">
        <f>IF(AND(Cronograma!$F31&lt;=DATE(2026,12,31),Cronograma!$G31&gt;=DATE(2026,12,1)),1,0)</f>
        <v/>
      </c>
      <c r="J30" s="31">
        <f>IF(AND(Cronograma!$F31&lt;=DATE(2027,1,31),Cronograma!$G31&gt;=DATE(2027,1,1)),1,0)</f>
        <v/>
      </c>
      <c r="K30" s="31">
        <f>IF(AND(Cronograma!$F31&lt;=DATE(2027,2,28),Cronograma!$G31&gt;=DATE(2027,2,1)),1,0)</f>
        <v/>
      </c>
      <c r="L30" s="33">
        <f>IF(AND(Cronograma!$F31&lt;=DATE(2027,3,31),Cronograma!$G31&gt;=DATE(2027,3,1)),1,0)</f>
        <v/>
      </c>
      <c r="M30" s="33">
        <f>IF(AND(Cronograma!$F31&lt;=DATE(2027,4,30),Cronograma!$G31&gt;=DATE(2027,4,1)),1,0)</f>
        <v/>
      </c>
      <c r="N30" s="31">
        <f>IF(AND(Cronograma!$F31&lt;=DATE(2027,5,31),Cronograma!$G31&gt;=DATE(2027,5,1)),1,0)</f>
        <v/>
      </c>
      <c r="O30" s="31">
        <f>IF(AND(Cronograma!$F31&lt;=DATE(2027,6,30),Cronograma!$G31&gt;=DATE(2027,6,1)),1,0)</f>
        <v/>
      </c>
      <c r="P30" s="31">
        <f>IF(AND(Cronograma!$F31&lt;=DATE(2027,7,31),Cronograma!$G31&gt;=DATE(2027,7,1)),1,0)</f>
        <v/>
      </c>
      <c r="Q30" s="31">
        <f>IF(AND(Cronograma!$F31&lt;=DATE(2027,8,31),Cronograma!$G31&gt;=DATE(2027,8,1)),1,0)</f>
        <v/>
      </c>
      <c r="R30" s="31">
        <f>IF(AND(Cronograma!$F31&lt;=DATE(2027,9,30),Cronograma!$G31&gt;=DATE(2027,9,1)),1,0)</f>
        <v/>
      </c>
      <c r="S30" s="31">
        <f>IF(AND(Cronograma!$F31&lt;=DATE(2027,10,31),Cronograma!$G31&gt;=DATE(2027,10,1)),1,0)</f>
        <v/>
      </c>
      <c r="T30" s="31">
        <f>IF(AND(Cronograma!$F31&lt;=DATE(2027,11,30),Cronograma!$G31&gt;=DATE(2027,11,1)),1,0)</f>
        <v/>
      </c>
      <c r="U30" s="31">
        <f>IF(AND(Cronograma!$F31&lt;=DATE(2027,12,31),Cronograma!$G31&gt;=DATE(2027,12,1)),1,0)</f>
        <v/>
      </c>
    </row>
    <row r="31" ht="15" customHeight="1">
      <c r="A31" s="8">
        <f>Cronograma!A32</f>
        <v/>
      </c>
      <c r="B31" s="32">
        <f>Cronograma!B32</f>
        <v/>
      </c>
      <c r="C31" s="28">
        <f>Cronograma!C32</f>
        <v/>
      </c>
      <c r="D31" s="29">
        <f>Cronograma!E32</f>
        <v/>
      </c>
      <c r="E31" s="31">
        <f>IF(AND(Cronograma!$F32&lt;=DATE(2026,8,31),Cronograma!$G32&gt;=DATE(2026,8,1)),1,0)</f>
        <v/>
      </c>
      <c r="F31" s="31">
        <f>IF(AND(Cronograma!$F32&lt;=DATE(2026,9,30),Cronograma!$G32&gt;=DATE(2026,9,1)),1,0)</f>
        <v/>
      </c>
      <c r="G31" s="31">
        <f>IF(AND(Cronograma!$F32&lt;=DATE(2026,10,31),Cronograma!$G32&gt;=DATE(2026,10,1)),1,0)</f>
        <v/>
      </c>
      <c r="H31" s="31">
        <f>IF(AND(Cronograma!$F32&lt;=DATE(2026,11,30),Cronograma!$G32&gt;=DATE(2026,11,1)),1,0)</f>
        <v/>
      </c>
      <c r="I31" s="31">
        <f>IF(AND(Cronograma!$F32&lt;=DATE(2026,12,31),Cronograma!$G32&gt;=DATE(2026,12,1)),1,0)</f>
        <v/>
      </c>
      <c r="J31" s="31">
        <f>IF(AND(Cronograma!$F32&lt;=DATE(2027,1,31),Cronograma!$G32&gt;=DATE(2027,1,1)),1,0)</f>
        <v/>
      </c>
      <c r="K31" s="31">
        <f>IF(AND(Cronograma!$F32&lt;=DATE(2027,2,28),Cronograma!$G32&gt;=DATE(2027,2,1)),1,0)</f>
        <v/>
      </c>
      <c r="L31" s="33">
        <f>IF(AND(Cronograma!$F32&lt;=DATE(2027,3,31),Cronograma!$G32&gt;=DATE(2027,3,1)),1,0)</f>
        <v/>
      </c>
      <c r="M31" s="31">
        <f>IF(AND(Cronograma!$F32&lt;=DATE(2027,4,30),Cronograma!$G32&gt;=DATE(2027,4,1)),1,0)</f>
        <v/>
      </c>
      <c r="N31" s="31">
        <f>IF(AND(Cronograma!$F32&lt;=DATE(2027,5,31),Cronograma!$G32&gt;=DATE(2027,5,1)),1,0)</f>
        <v/>
      </c>
      <c r="O31" s="31">
        <f>IF(AND(Cronograma!$F32&lt;=DATE(2027,6,30),Cronograma!$G32&gt;=DATE(2027,6,1)),1,0)</f>
        <v/>
      </c>
      <c r="P31" s="31">
        <f>IF(AND(Cronograma!$F32&lt;=DATE(2027,7,31),Cronograma!$G32&gt;=DATE(2027,7,1)),1,0)</f>
        <v/>
      </c>
      <c r="Q31" s="31">
        <f>IF(AND(Cronograma!$F32&lt;=DATE(2027,8,31),Cronograma!$G32&gt;=DATE(2027,8,1)),1,0)</f>
        <v/>
      </c>
      <c r="R31" s="31">
        <f>IF(AND(Cronograma!$F32&lt;=DATE(2027,9,30),Cronograma!$G32&gt;=DATE(2027,9,1)),1,0)</f>
        <v/>
      </c>
      <c r="S31" s="31">
        <f>IF(AND(Cronograma!$F32&lt;=DATE(2027,10,31),Cronograma!$G32&gt;=DATE(2027,10,1)),1,0)</f>
        <v/>
      </c>
      <c r="T31" s="31">
        <f>IF(AND(Cronograma!$F32&lt;=DATE(2027,11,30),Cronograma!$G32&gt;=DATE(2027,11,1)),1,0)</f>
        <v/>
      </c>
      <c r="U31" s="31">
        <f>IF(AND(Cronograma!$F32&lt;=DATE(2027,12,31),Cronograma!$G32&gt;=DATE(2027,12,1)),1,0)</f>
        <v/>
      </c>
    </row>
    <row r="32" ht="15" customHeight="1">
      <c r="A32" s="8">
        <f>Cronograma!A33</f>
        <v/>
      </c>
      <c r="B32" s="32">
        <f>Cronograma!B33</f>
        <v/>
      </c>
      <c r="C32" s="28">
        <f>Cronograma!C33</f>
        <v/>
      </c>
      <c r="D32" s="29">
        <f>Cronograma!E33</f>
        <v/>
      </c>
      <c r="E32" s="31">
        <f>IF(AND(Cronograma!$F33&lt;=DATE(2026,8,31),Cronograma!$G33&gt;=DATE(2026,8,1)),1,0)</f>
        <v/>
      </c>
      <c r="F32" s="31">
        <f>IF(AND(Cronograma!$F33&lt;=DATE(2026,9,30),Cronograma!$G33&gt;=DATE(2026,9,1)),1,0)</f>
        <v/>
      </c>
      <c r="G32" s="31">
        <f>IF(AND(Cronograma!$F33&lt;=DATE(2026,10,31),Cronograma!$G33&gt;=DATE(2026,10,1)),1,0)</f>
        <v/>
      </c>
      <c r="H32" s="31">
        <f>IF(AND(Cronograma!$F33&lt;=DATE(2026,11,30),Cronograma!$G33&gt;=DATE(2026,11,1)),1,0)</f>
        <v/>
      </c>
      <c r="I32" s="31">
        <f>IF(AND(Cronograma!$F33&lt;=DATE(2026,12,31),Cronograma!$G33&gt;=DATE(2026,12,1)),1,0)</f>
        <v/>
      </c>
      <c r="J32" s="31">
        <f>IF(AND(Cronograma!$F33&lt;=DATE(2027,1,31),Cronograma!$G33&gt;=DATE(2027,1,1)),1,0)</f>
        <v/>
      </c>
      <c r="K32" s="31">
        <f>IF(AND(Cronograma!$F33&lt;=DATE(2027,2,28),Cronograma!$G33&gt;=DATE(2027,2,1)),1,0)</f>
        <v/>
      </c>
      <c r="L32" s="33">
        <f>IF(AND(Cronograma!$F33&lt;=DATE(2027,3,31),Cronograma!$G33&gt;=DATE(2027,3,1)),1,0)</f>
        <v/>
      </c>
      <c r="M32" s="33">
        <f>IF(AND(Cronograma!$F33&lt;=DATE(2027,4,30),Cronograma!$G33&gt;=DATE(2027,4,1)),1,0)</f>
        <v/>
      </c>
      <c r="N32" s="31">
        <f>IF(AND(Cronograma!$F33&lt;=DATE(2027,5,31),Cronograma!$G33&gt;=DATE(2027,5,1)),1,0)</f>
        <v/>
      </c>
      <c r="O32" s="31">
        <f>IF(AND(Cronograma!$F33&lt;=DATE(2027,6,30),Cronograma!$G33&gt;=DATE(2027,6,1)),1,0)</f>
        <v/>
      </c>
      <c r="P32" s="31">
        <f>IF(AND(Cronograma!$F33&lt;=DATE(2027,7,31),Cronograma!$G33&gt;=DATE(2027,7,1)),1,0)</f>
        <v/>
      </c>
      <c r="Q32" s="31">
        <f>IF(AND(Cronograma!$F33&lt;=DATE(2027,8,31),Cronograma!$G33&gt;=DATE(2027,8,1)),1,0)</f>
        <v/>
      </c>
      <c r="R32" s="31">
        <f>IF(AND(Cronograma!$F33&lt;=DATE(2027,9,30),Cronograma!$G33&gt;=DATE(2027,9,1)),1,0)</f>
        <v/>
      </c>
      <c r="S32" s="31">
        <f>IF(AND(Cronograma!$F33&lt;=DATE(2027,10,31),Cronograma!$G33&gt;=DATE(2027,10,1)),1,0)</f>
        <v/>
      </c>
      <c r="T32" s="31">
        <f>IF(AND(Cronograma!$F33&lt;=DATE(2027,11,30),Cronograma!$G33&gt;=DATE(2027,11,1)),1,0)</f>
        <v/>
      </c>
      <c r="U32" s="31">
        <f>IF(AND(Cronograma!$F33&lt;=DATE(2027,12,31),Cronograma!$G33&gt;=DATE(2027,12,1)),1,0)</f>
        <v/>
      </c>
    </row>
    <row r="33" ht="15" customHeight="1">
      <c r="A33" s="8">
        <f>Cronograma!A34</f>
        <v/>
      </c>
      <c r="B33" s="32">
        <f>Cronograma!B34</f>
        <v/>
      </c>
      <c r="C33" s="28">
        <f>Cronograma!C34</f>
        <v/>
      </c>
      <c r="D33" s="29">
        <f>Cronograma!E34</f>
        <v/>
      </c>
      <c r="E33" s="31">
        <f>IF(AND(Cronograma!$F34&lt;=DATE(2026,8,31),Cronograma!$G34&gt;=DATE(2026,8,1)),1,0)</f>
        <v/>
      </c>
      <c r="F33" s="31">
        <f>IF(AND(Cronograma!$F34&lt;=DATE(2026,9,30),Cronograma!$G34&gt;=DATE(2026,9,1)),1,0)</f>
        <v/>
      </c>
      <c r="G33" s="31">
        <f>IF(AND(Cronograma!$F34&lt;=DATE(2026,10,31),Cronograma!$G34&gt;=DATE(2026,10,1)),1,0)</f>
        <v/>
      </c>
      <c r="H33" s="31">
        <f>IF(AND(Cronograma!$F34&lt;=DATE(2026,11,30),Cronograma!$G34&gt;=DATE(2026,11,1)),1,0)</f>
        <v/>
      </c>
      <c r="I33" s="31">
        <f>IF(AND(Cronograma!$F34&lt;=DATE(2026,12,31),Cronograma!$G34&gt;=DATE(2026,12,1)),1,0)</f>
        <v/>
      </c>
      <c r="J33" s="31">
        <f>IF(AND(Cronograma!$F34&lt;=DATE(2027,1,31),Cronograma!$G34&gt;=DATE(2027,1,1)),1,0)</f>
        <v/>
      </c>
      <c r="K33" s="31">
        <f>IF(AND(Cronograma!$F34&lt;=DATE(2027,2,28),Cronograma!$G34&gt;=DATE(2027,2,1)),1,0)</f>
        <v/>
      </c>
      <c r="L33" s="31">
        <f>IF(AND(Cronograma!$F34&lt;=DATE(2027,3,31),Cronograma!$G34&gt;=DATE(2027,3,1)),1,0)</f>
        <v/>
      </c>
      <c r="M33" s="33">
        <f>IF(AND(Cronograma!$F34&lt;=DATE(2027,4,30),Cronograma!$G34&gt;=DATE(2027,4,1)),1,0)</f>
        <v/>
      </c>
      <c r="N33" s="31">
        <f>IF(AND(Cronograma!$F34&lt;=DATE(2027,5,31),Cronograma!$G34&gt;=DATE(2027,5,1)),1,0)</f>
        <v/>
      </c>
      <c r="O33" s="31">
        <f>IF(AND(Cronograma!$F34&lt;=DATE(2027,6,30),Cronograma!$G34&gt;=DATE(2027,6,1)),1,0)</f>
        <v/>
      </c>
      <c r="P33" s="31">
        <f>IF(AND(Cronograma!$F34&lt;=DATE(2027,7,31),Cronograma!$G34&gt;=DATE(2027,7,1)),1,0)</f>
        <v/>
      </c>
      <c r="Q33" s="31">
        <f>IF(AND(Cronograma!$F34&lt;=DATE(2027,8,31),Cronograma!$G34&gt;=DATE(2027,8,1)),1,0)</f>
        <v/>
      </c>
      <c r="R33" s="31">
        <f>IF(AND(Cronograma!$F34&lt;=DATE(2027,9,30),Cronograma!$G34&gt;=DATE(2027,9,1)),1,0)</f>
        <v/>
      </c>
      <c r="S33" s="31">
        <f>IF(AND(Cronograma!$F34&lt;=DATE(2027,10,31),Cronograma!$G34&gt;=DATE(2027,10,1)),1,0)</f>
        <v/>
      </c>
      <c r="T33" s="31">
        <f>IF(AND(Cronograma!$F34&lt;=DATE(2027,11,30),Cronograma!$G34&gt;=DATE(2027,11,1)),1,0)</f>
        <v/>
      </c>
      <c r="U33" s="31">
        <f>IF(AND(Cronograma!$F34&lt;=DATE(2027,12,31),Cronograma!$G34&gt;=DATE(2027,12,1)),1,0)</f>
        <v/>
      </c>
    </row>
    <row r="34" ht="15" customHeight="1">
      <c r="A34" s="8">
        <f>Cronograma!A35</f>
        <v/>
      </c>
      <c r="B34" s="34">
        <f>Cronograma!B35</f>
        <v/>
      </c>
      <c r="C34" s="28">
        <f>Cronograma!C35</f>
        <v/>
      </c>
      <c r="D34" s="29">
        <f>Cronograma!E35</f>
        <v/>
      </c>
      <c r="E34" s="31">
        <f>IF(AND(Cronograma!$F35&lt;=DATE(2026,8,31),Cronograma!$G35&gt;=DATE(2026,8,1)),1,0)</f>
        <v/>
      </c>
      <c r="F34" s="31">
        <f>IF(AND(Cronograma!$F35&lt;=DATE(2026,9,30),Cronograma!$G35&gt;=DATE(2026,9,1)),1,0)</f>
        <v/>
      </c>
      <c r="G34" s="31">
        <f>IF(AND(Cronograma!$F35&lt;=DATE(2026,10,31),Cronograma!$G35&gt;=DATE(2026,10,1)),1,0)</f>
        <v/>
      </c>
      <c r="H34" s="31">
        <f>IF(AND(Cronograma!$F35&lt;=DATE(2026,11,30),Cronograma!$G35&gt;=DATE(2026,11,1)),1,0)</f>
        <v/>
      </c>
      <c r="I34" s="31">
        <f>IF(AND(Cronograma!$F35&lt;=DATE(2026,12,31),Cronograma!$G35&gt;=DATE(2026,12,1)),1,0)</f>
        <v/>
      </c>
      <c r="J34" s="31">
        <f>IF(AND(Cronograma!$F35&lt;=DATE(2027,1,31),Cronograma!$G35&gt;=DATE(2027,1,1)),1,0)</f>
        <v/>
      </c>
      <c r="K34" s="31">
        <f>IF(AND(Cronograma!$F35&lt;=DATE(2027,2,28),Cronograma!$G35&gt;=DATE(2027,2,1)),1,0)</f>
        <v/>
      </c>
      <c r="L34" s="31">
        <f>IF(AND(Cronograma!$F35&lt;=DATE(2027,3,31),Cronograma!$G35&gt;=DATE(2027,3,1)),1,0)</f>
        <v/>
      </c>
      <c r="M34" s="35">
        <f>IF(AND(Cronograma!$F35&lt;=DATE(2027,4,30),Cronograma!$G35&gt;=DATE(2027,4,1)),1,0)</f>
        <v/>
      </c>
      <c r="N34" s="35">
        <f>IF(AND(Cronograma!$F35&lt;=DATE(2027,5,31),Cronograma!$G35&gt;=DATE(2027,5,1)),1,0)</f>
        <v/>
      </c>
      <c r="O34" s="31">
        <f>IF(AND(Cronograma!$F35&lt;=DATE(2027,6,30),Cronograma!$G35&gt;=DATE(2027,6,1)),1,0)</f>
        <v/>
      </c>
      <c r="P34" s="31">
        <f>IF(AND(Cronograma!$F35&lt;=DATE(2027,7,31),Cronograma!$G35&gt;=DATE(2027,7,1)),1,0)</f>
        <v/>
      </c>
      <c r="Q34" s="31">
        <f>IF(AND(Cronograma!$F35&lt;=DATE(2027,8,31),Cronograma!$G35&gt;=DATE(2027,8,1)),1,0)</f>
        <v/>
      </c>
      <c r="R34" s="31">
        <f>IF(AND(Cronograma!$F35&lt;=DATE(2027,9,30),Cronograma!$G35&gt;=DATE(2027,9,1)),1,0)</f>
        <v/>
      </c>
      <c r="S34" s="31">
        <f>IF(AND(Cronograma!$F35&lt;=DATE(2027,10,31),Cronograma!$G35&gt;=DATE(2027,10,1)),1,0)</f>
        <v/>
      </c>
      <c r="T34" s="31">
        <f>IF(AND(Cronograma!$F35&lt;=DATE(2027,11,30),Cronograma!$G35&gt;=DATE(2027,11,1)),1,0)</f>
        <v/>
      </c>
      <c r="U34" s="31">
        <f>IF(AND(Cronograma!$F35&lt;=DATE(2027,12,31),Cronograma!$G35&gt;=DATE(2027,12,1)),1,0)</f>
        <v/>
      </c>
    </row>
    <row r="35" ht="15" customHeight="1">
      <c r="A35" s="8">
        <f>Cronograma!A36</f>
        <v/>
      </c>
      <c r="B35" s="34">
        <f>Cronograma!B36</f>
        <v/>
      </c>
      <c r="C35" s="28">
        <f>Cronograma!C36</f>
        <v/>
      </c>
      <c r="D35" s="29">
        <f>Cronograma!E36</f>
        <v/>
      </c>
      <c r="E35" s="31">
        <f>IF(AND(Cronograma!$F36&lt;=DATE(2026,8,31),Cronograma!$G36&gt;=DATE(2026,8,1)),1,0)</f>
        <v/>
      </c>
      <c r="F35" s="31">
        <f>IF(AND(Cronograma!$F36&lt;=DATE(2026,9,30),Cronograma!$G36&gt;=DATE(2026,9,1)),1,0)</f>
        <v/>
      </c>
      <c r="G35" s="31">
        <f>IF(AND(Cronograma!$F36&lt;=DATE(2026,10,31),Cronograma!$G36&gt;=DATE(2026,10,1)),1,0)</f>
        <v/>
      </c>
      <c r="H35" s="31">
        <f>IF(AND(Cronograma!$F36&lt;=DATE(2026,11,30),Cronograma!$G36&gt;=DATE(2026,11,1)),1,0)</f>
        <v/>
      </c>
      <c r="I35" s="31">
        <f>IF(AND(Cronograma!$F36&lt;=DATE(2026,12,31),Cronograma!$G36&gt;=DATE(2026,12,1)),1,0)</f>
        <v/>
      </c>
      <c r="J35" s="31">
        <f>IF(AND(Cronograma!$F36&lt;=DATE(2027,1,31),Cronograma!$G36&gt;=DATE(2027,1,1)),1,0)</f>
        <v/>
      </c>
      <c r="K35" s="31">
        <f>IF(AND(Cronograma!$F36&lt;=DATE(2027,2,28),Cronograma!$G36&gt;=DATE(2027,2,1)),1,0)</f>
        <v/>
      </c>
      <c r="L35" s="31">
        <f>IF(AND(Cronograma!$F36&lt;=DATE(2027,3,31),Cronograma!$G36&gt;=DATE(2027,3,1)),1,0)</f>
        <v/>
      </c>
      <c r="M35" s="35">
        <f>IF(AND(Cronograma!$F36&lt;=DATE(2027,4,30),Cronograma!$G36&gt;=DATE(2027,4,1)),1,0)</f>
        <v/>
      </c>
      <c r="N35" s="35">
        <f>IF(AND(Cronograma!$F36&lt;=DATE(2027,5,31),Cronograma!$G36&gt;=DATE(2027,5,1)),1,0)</f>
        <v/>
      </c>
      <c r="O35" s="31">
        <f>IF(AND(Cronograma!$F36&lt;=DATE(2027,6,30),Cronograma!$G36&gt;=DATE(2027,6,1)),1,0)</f>
        <v/>
      </c>
      <c r="P35" s="31">
        <f>IF(AND(Cronograma!$F36&lt;=DATE(2027,7,31),Cronograma!$G36&gt;=DATE(2027,7,1)),1,0)</f>
        <v/>
      </c>
      <c r="Q35" s="31">
        <f>IF(AND(Cronograma!$F36&lt;=DATE(2027,8,31),Cronograma!$G36&gt;=DATE(2027,8,1)),1,0)</f>
        <v/>
      </c>
      <c r="R35" s="31">
        <f>IF(AND(Cronograma!$F36&lt;=DATE(2027,9,30),Cronograma!$G36&gt;=DATE(2027,9,1)),1,0)</f>
        <v/>
      </c>
      <c r="S35" s="31">
        <f>IF(AND(Cronograma!$F36&lt;=DATE(2027,10,31),Cronograma!$G36&gt;=DATE(2027,10,1)),1,0)</f>
        <v/>
      </c>
      <c r="T35" s="31">
        <f>IF(AND(Cronograma!$F36&lt;=DATE(2027,11,30),Cronograma!$G36&gt;=DATE(2027,11,1)),1,0)</f>
        <v/>
      </c>
      <c r="U35" s="31">
        <f>IF(AND(Cronograma!$F36&lt;=DATE(2027,12,31),Cronograma!$G36&gt;=DATE(2027,12,1)),1,0)</f>
        <v/>
      </c>
    </row>
    <row r="36" ht="15" customHeight="1">
      <c r="A36" s="8">
        <f>Cronograma!A37</f>
        <v/>
      </c>
      <c r="B36" s="34">
        <f>Cronograma!B37</f>
        <v/>
      </c>
      <c r="C36" s="28">
        <f>Cronograma!C37</f>
        <v/>
      </c>
      <c r="D36" s="29">
        <f>Cronograma!E37</f>
        <v/>
      </c>
      <c r="E36" s="31">
        <f>IF(AND(Cronograma!$F37&lt;=DATE(2026,8,31),Cronograma!$G37&gt;=DATE(2026,8,1)),1,0)</f>
        <v/>
      </c>
      <c r="F36" s="31">
        <f>IF(AND(Cronograma!$F37&lt;=DATE(2026,9,30),Cronograma!$G37&gt;=DATE(2026,9,1)),1,0)</f>
        <v/>
      </c>
      <c r="G36" s="31">
        <f>IF(AND(Cronograma!$F37&lt;=DATE(2026,10,31),Cronograma!$G37&gt;=DATE(2026,10,1)),1,0)</f>
        <v/>
      </c>
      <c r="H36" s="31">
        <f>IF(AND(Cronograma!$F37&lt;=DATE(2026,11,30),Cronograma!$G37&gt;=DATE(2026,11,1)),1,0)</f>
        <v/>
      </c>
      <c r="I36" s="31">
        <f>IF(AND(Cronograma!$F37&lt;=DATE(2026,12,31),Cronograma!$G37&gt;=DATE(2026,12,1)),1,0)</f>
        <v/>
      </c>
      <c r="J36" s="31">
        <f>IF(AND(Cronograma!$F37&lt;=DATE(2027,1,31),Cronograma!$G37&gt;=DATE(2027,1,1)),1,0)</f>
        <v/>
      </c>
      <c r="K36" s="31">
        <f>IF(AND(Cronograma!$F37&lt;=DATE(2027,2,28),Cronograma!$G37&gt;=DATE(2027,2,1)),1,0)</f>
        <v/>
      </c>
      <c r="L36" s="31">
        <f>IF(AND(Cronograma!$F37&lt;=DATE(2027,3,31),Cronograma!$G37&gt;=DATE(2027,3,1)),1,0)</f>
        <v/>
      </c>
      <c r="M36" s="31">
        <f>IF(AND(Cronograma!$F37&lt;=DATE(2027,4,30),Cronograma!$G37&gt;=DATE(2027,4,1)),1,0)</f>
        <v/>
      </c>
      <c r="N36" s="35">
        <f>IF(AND(Cronograma!$F37&lt;=DATE(2027,5,31),Cronograma!$G37&gt;=DATE(2027,5,1)),1,0)</f>
        <v/>
      </c>
      <c r="O36" s="31">
        <f>IF(AND(Cronograma!$F37&lt;=DATE(2027,6,30),Cronograma!$G37&gt;=DATE(2027,6,1)),1,0)</f>
        <v/>
      </c>
      <c r="P36" s="31">
        <f>IF(AND(Cronograma!$F37&lt;=DATE(2027,7,31),Cronograma!$G37&gt;=DATE(2027,7,1)),1,0)</f>
        <v/>
      </c>
      <c r="Q36" s="31">
        <f>IF(AND(Cronograma!$F37&lt;=DATE(2027,8,31),Cronograma!$G37&gt;=DATE(2027,8,1)),1,0)</f>
        <v/>
      </c>
      <c r="R36" s="31">
        <f>IF(AND(Cronograma!$F37&lt;=DATE(2027,9,30),Cronograma!$G37&gt;=DATE(2027,9,1)),1,0)</f>
        <v/>
      </c>
      <c r="S36" s="31">
        <f>IF(AND(Cronograma!$F37&lt;=DATE(2027,10,31),Cronograma!$G37&gt;=DATE(2027,10,1)),1,0)</f>
        <v/>
      </c>
      <c r="T36" s="31">
        <f>IF(AND(Cronograma!$F37&lt;=DATE(2027,11,30),Cronograma!$G37&gt;=DATE(2027,11,1)),1,0)</f>
        <v/>
      </c>
      <c r="U36" s="31">
        <f>IF(AND(Cronograma!$F37&lt;=DATE(2027,12,31),Cronograma!$G37&gt;=DATE(2027,12,1)),1,0)</f>
        <v/>
      </c>
    </row>
    <row r="37" ht="15" customHeight="1">
      <c r="A37" s="8">
        <f>Cronograma!A38</f>
        <v/>
      </c>
      <c r="B37" s="34">
        <f>Cronograma!B38</f>
        <v/>
      </c>
      <c r="C37" s="28">
        <f>Cronograma!C38</f>
        <v/>
      </c>
      <c r="D37" s="29">
        <f>Cronograma!E38</f>
        <v/>
      </c>
      <c r="E37" s="31">
        <f>IF(AND(Cronograma!$F38&lt;=DATE(2026,8,31),Cronograma!$G38&gt;=DATE(2026,8,1)),1,0)</f>
        <v/>
      </c>
      <c r="F37" s="31">
        <f>IF(AND(Cronograma!$F38&lt;=DATE(2026,9,30),Cronograma!$G38&gt;=DATE(2026,9,1)),1,0)</f>
        <v/>
      </c>
      <c r="G37" s="31">
        <f>IF(AND(Cronograma!$F38&lt;=DATE(2026,10,31),Cronograma!$G38&gt;=DATE(2026,10,1)),1,0)</f>
        <v/>
      </c>
      <c r="H37" s="31">
        <f>IF(AND(Cronograma!$F38&lt;=DATE(2026,11,30),Cronograma!$G38&gt;=DATE(2026,11,1)),1,0)</f>
        <v/>
      </c>
      <c r="I37" s="31">
        <f>IF(AND(Cronograma!$F38&lt;=DATE(2026,12,31),Cronograma!$G38&gt;=DATE(2026,12,1)),1,0)</f>
        <v/>
      </c>
      <c r="J37" s="31">
        <f>IF(AND(Cronograma!$F38&lt;=DATE(2027,1,31),Cronograma!$G38&gt;=DATE(2027,1,1)),1,0)</f>
        <v/>
      </c>
      <c r="K37" s="31">
        <f>IF(AND(Cronograma!$F38&lt;=DATE(2027,2,28),Cronograma!$G38&gt;=DATE(2027,2,1)),1,0)</f>
        <v/>
      </c>
      <c r="L37" s="31">
        <f>IF(AND(Cronograma!$F38&lt;=DATE(2027,3,31),Cronograma!$G38&gt;=DATE(2027,3,1)),1,0)</f>
        <v/>
      </c>
      <c r="M37" s="31">
        <f>IF(AND(Cronograma!$F38&lt;=DATE(2027,4,30),Cronograma!$G38&gt;=DATE(2027,4,1)),1,0)</f>
        <v/>
      </c>
      <c r="N37" s="35">
        <f>IF(AND(Cronograma!$F38&lt;=DATE(2027,5,31),Cronograma!$G38&gt;=DATE(2027,5,1)),1,0)</f>
        <v/>
      </c>
      <c r="O37" s="35">
        <f>IF(AND(Cronograma!$F38&lt;=DATE(2027,6,30),Cronograma!$G38&gt;=DATE(2027,6,1)),1,0)</f>
        <v/>
      </c>
      <c r="P37" s="31">
        <f>IF(AND(Cronograma!$F38&lt;=DATE(2027,7,31),Cronograma!$G38&gt;=DATE(2027,7,1)),1,0)</f>
        <v/>
      </c>
      <c r="Q37" s="31">
        <f>IF(AND(Cronograma!$F38&lt;=DATE(2027,8,31),Cronograma!$G38&gt;=DATE(2027,8,1)),1,0)</f>
        <v/>
      </c>
      <c r="R37" s="31">
        <f>IF(AND(Cronograma!$F38&lt;=DATE(2027,9,30),Cronograma!$G38&gt;=DATE(2027,9,1)),1,0)</f>
        <v/>
      </c>
      <c r="S37" s="31">
        <f>IF(AND(Cronograma!$F38&lt;=DATE(2027,10,31),Cronograma!$G38&gt;=DATE(2027,10,1)),1,0)</f>
        <v/>
      </c>
      <c r="T37" s="31">
        <f>IF(AND(Cronograma!$F38&lt;=DATE(2027,11,30),Cronograma!$G38&gt;=DATE(2027,11,1)),1,0)</f>
        <v/>
      </c>
      <c r="U37" s="31">
        <f>IF(AND(Cronograma!$F38&lt;=DATE(2027,12,31),Cronograma!$G38&gt;=DATE(2027,12,1)),1,0)</f>
        <v/>
      </c>
    </row>
    <row r="38" ht="15" customHeight="1">
      <c r="A38" s="8">
        <f>Cronograma!A39</f>
        <v/>
      </c>
      <c r="B38" s="36">
        <f>Cronograma!B39</f>
        <v/>
      </c>
      <c r="C38" s="28">
        <f>Cronograma!C39</f>
        <v/>
      </c>
      <c r="D38" s="29">
        <f>Cronograma!E39</f>
        <v/>
      </c>
      <c r="E38" s="31">
        <f>IF(AND(Cronograma!$F39&lt;=DATE(2026,8,31),Cronograma!$G39&gt;=DATE(2026,8,1)),1,0)</f>
        <v/>
      </c>
      <c r="F38" s="31">
        <f>IF(AND(Cronograma!$F39&lt;=DATE(2026,9,30),Cronograma!$G39&gt;=DATE(2026,9,1)),1,0)</f>
        <v/>
      </c>
      <c r="G38" s="31">
        <f>IF(AND(Cronograma!$F39&lt;=DATE(2026,10,31),Cronograma!$G39&gt;=DATE(2026,10,1)),1,0)</f>
        <v/>
      </c>
      <c r="H38" s="31">
        <f>IF(AND(Cronograma!$F39&lt;=DATE(2026,11,30),Cronograma!$G39&gt;=DATE(2026,11,1)),1,0)</f>
        <v/>
      </c>
      <c r="I38" s="31">
        <f>IF(AND(Cronograma!$F39&lt;=DATE(2026,12,31),Cronograma!$G39&gt;=DATE(2026,12,1)),1,0)</f>
        <v/>
      </c>
      <c r="J38" s="31">
        <f>IF(AND(Cronograma!$F39&lt;=DATE(2027,1,31),Cronograma!$G39&gt;=DATE(2027,1,1)),1,0)</f>
        <v/>
      </c>
      <c r="K38" s="31">
        <f>IF(AND(Cronograma!$F39&lt;=DATE(2027,2,28),Cronograma!$G39&gt;=DATE(2027,2,1)),1,0)</f>
        <v/>
      </c>
      <c r="L38" s="31">
        <f>IF(AND(Cronograma!$F39&lt;=DATE(2027,3,31),Cronograma!$G39&gt;=DATE(2027,3,1)),1,0)</f>
        <v/>
      </c>
      <c r="M38" s="31">
        <f>IF(AND(Cronograma!$F39&lt;=DATE(2027,4,30),Cronograma!$G39&gt;=DATE(2027,4,1)),1,0)</f>
        <v/>
      </c>
      <c r="N38" s="31">
        <f>IF(AND(Cronograma!$F39&lt;=DATE(2027,5,31),Cronograma!$G39&gt;=DATE(2027,5,1)),1,0)</f>
        <v/>
      </c>
      <c r="O38" s="37">
        <f>IF(AND(Cronograma!$F39&lt;=DATE(2027,6,30),Cronograma!$G39&gt;=DATE(2027,6,1)),1,0)</f>
        <v/>
      </c>
      <c r="P38" s="31">
        <f>IF(AND(Cronograma!$F39&lt;=DATE(2027,7,31),Cronograma!$G39&gt;=DATE(2027,7,1)),1,0)</f>
        <v/>
      </c>
      <c r="Q38" s="31">
        <f>IF(AND(Cronograma!$F39&lt;=DATE(2027,8,31),Cronograma!$G39&gt;=DATE(2027,8,1)),1,0)</f>
        <v/>
      </c>
      <c r="R38" s="31">
        <f>IF(AND(Cronograma!$F39&lt;=DATE(2027,9,30),Cronograma!$G39&gt;=DATE(2027,9,1)),1,0)</f>
        <v/>
      </c>
      <c r="S38" s="31">
        <f>IF(AND(Cronograma!$F39&lt;=DATE(2027,10,31),Cronograma!$G39&gt;=DATE(2027,10,1)),1,0)</f>
        <v/>
      </c>
      <c r="T38" s="31">
        <f>IF(AND(Cronograma!$F39&lt;=DATE(2027,11,30),Cronograma!$G39&gt;=DATE(2027,11,1)),1,0)</f>
        <v/>
      </c>
      <c r="U38" s="31">
        <f>IF(AND(Cronograma!$F39&lt;=DATE(2027,12,31),Cronograma!$G39&gt;=DATE(2027,12,1)),1,0)</f>
        <v/>
      </c>
    </row>
    <row r="39" ht="15" customHeight="1">
      <c r="A39" s="8">
        <f>Cronograma!A40</f>
        <v/>
      </c>
      <c r="B39" s="36">
        <f>Cronograma!B40</f>
        <v/>
      </c>
      <c r="C39" s="28">
        <f>Cronograma!C40</f>
        <v/>
      </c>
      <c r="D39" s="29">
        <f>Cronograma!E40</f>
        <v/>
      </c>
      <c r="E39" s="31">
        <f>IF(AND(Cronograma!$F40&lt;=DATE(2026,8,31),Cronograma!$G40&gt;=DATE(2026,8,1)),1,0)</f>
        <v/>
      </c>
      <c r="F39" s="31">
        <f>IF(AND(Cronograma!$F40&lt;=DATE(2026,9,30),Cronograma!$G40&gt;=DATE(2026,9,1)),1,0)</f>
        <v/>
      </c>
      <c r="G39" s="31">
        <f>IF(AND(Cronograma!$F40&lt;=DATE(2026,10,31),Cronograma!$G40&gt;=DATE(2026,10,1)),1,0)</f>
        <v/>
      </c>
      <c r="H39" s="31">
        <f>IF(AND(Cronograma!$F40&lt;=DATE(2026,11,30),Cronograma!$G40&gt;=DATE(2026,11,1)),1,0)</f>
        <v/>
      </c>
      <c r="I39" s="31">
        <f>IF(AND(Cronograma!$F40&lt;=DATE(2026,12,31),Cronograma!$G40&gt;=DATE(2026,12,1)),1,0)</f>
        <v/>
      </c>
      <c r="J39" s="31">
        <f>IF(AND(Cronograma!$F40&lt;=DATE(2027,1,31),Cronograma!$G40&gt;=DATE(2027,1,1)),1,0)</f>
        <v/>
      </c>
      <c r="K39" s="31">
        <f>IF(AND(Cronograma!$F40&lt;=DATE(2027,2,28),Cronograma!$G40&gt;=DATE(2027,2,1)),1,0)</f>
        <v/>
      </c>
      <c r="L39" s="31">
        <f>IF(AND(Cronograma!$F40&lt;=DATE(2027,3,31),Cronograma!$G40&gt;=DATE(2027,3,1)),1,0)</f>
        <v/>
      </c>
      <c r="M39" s="31">
        <f>IF(AND(Cronograma!$F40&lt;=DATE(2027,4,30),Cronograma!$G40&gt;=DATE(2027,4,1)),1,0)</f>
        <v/>
      </c>
      <c r="N39" s="31">
        <f>IF(AND(Cronograma!$F40&lt;=DATE(2027,5,31),Cronograma!$G40&gt;=DATE(2027,5,1)),1,0)</f>
        <v/>
      </c>
      <c r="O39" s="37">
        <f>IF(AND(Cronograma!$F40&lt;=DATE(2027,6,30),Cronograma!$G40&gt;=DATE(2027,6,1)),1,0)</f>
        <v/>
      </c>
      <c r="P39" s="37">
        <f>IF(AND(Cronograma!$F40&lt;=DATE(2027,7,31),Cronograma!$G40&gt;=DATE(2027,7,1)),1,0)</f>
        <v/>
      </c>
      <c r="Q39" s="31">
        <f>IF(AND(Cronograma!$F40&lt;=DATE(2027,8,31),Cronograma!$G40&gt;=DATE(2027,8,1)),1,0)</f>
        <v/>
      </c>
      <c r="R39" s="31">
        <f>IF(AND(Cronograma!$F40&lt;=DATE(2027,9,30),Cronograma!$G40&gt;=DATE(2027,9,1)),1,0)</f>
        <v/>
      </c>
      <c r="S39" s="31">
        <f>IF(AND(Cronograma!$F40&lt;=DATE(2027,10,31),Cronograma!$G40&gt;=DATE(2027,10,1)),1,0)</f>
        <v/>
      </c>
      <c r="T39" s="31">
        <f>IF(AND(Cronograma!$F40&lt;=DATE(2027,11,30),Cronograma!$G40&gt;=DATE(2027,11,1)),1,0)</f>
        <v/>
      </c>
      <c r="U39" s="31">
        <f>IF(AND(Cronograma!$F40&lt;=DATE(2027,12,31),Cronograma!$G40&gt;=DATE(2027,12,1)),1,0)</f>
        <v/>
      </c>
    </row>
    <row r="40" ht="15" customHeight="1">
      <c r="A40" s="8">
        <f>Cronograma!A41</f>
        <v/>
      </c>
      <c r="B40" s="36">
        <f>Cronograma!B41</f>
        <v/>
      </c>
      <c r="C40" s="28">
        <f>Cronograma!C41</f>
        <v/>
      </c>
      <c r="D40" s="29">
        <f>Cronograma!E41</f>
        <v/>
      </c>
      <c r="E40" s="31">
        <f>IF(AND(Cronograma!$F41&lt;=DATE(2026,8,31),Cronograma!$G41&gt;=DATE(2026,8,1)),1,0)</f>
        <v/>
      </c>
      <c r="F40" s="31">
        <f>IF(AND(Cronograma!$F41&lt;=DATE(2026,9,30),Cronograma!$G41&gt;=DATE(2026,9,1)),1,0)</f>
        <v/>
      </c>
      <c r="G40" s="31">
        <f>IF(AND(Cronograma!$F41&lt;=DATE(2026,10,31),Cronograma!$G41&gt;=DATE(2026,10,1)),1,0)</f>
        <v/>
      </c>
      <c r="H40" s="31">
        <f>IF(AND(Cronograma!$F41&lt;=DATE(2026,11,30),Cronograma!$G41&gt;=DATE(2026,11,1)),1,0)</f>
        <v/>
      </c>
      <c r="I40" s="31">
        <f>IF(AND(Cronograma!$F41&lt;=DATE(2026,12,31),Cronograma!$G41&gt;=DATE(2026,12,1)),1,0)</f>
        <v/>
      </c>
      <c r="J40" s="31">
        <f>IF(AND(Cronograma!$F41&lt;=DATE(2027,1,31),Cronograma!$G41&gt;=DATE(2027,1,1)),1,0)</f>
        <v/>
      </c>
      <c r="K40" s="31">
        <f>IF(AND(Cronograma!$F41&lt;=DATE(2027,2,28),Cronograma!$G41&gt;=DATE(2027,2,1)),1,0)</f>
        <v/>
      </c>
      <c r="L40" s="31">
        <f>IF(AND(Cronograma!$F41&lt;=DATE(2027,3,31),Cronograma!$G41&gt;=DATE(2027,3,1)),1,0)</f>
        <v/>
      </c>
      <c r="M40" s="31">
        <f>IF(AND(Cronograma!$F41&lt;=DATE(2027,4,30),Cronograma!$G41&gt;=DATE(2027,4,1)),1,0)</f>
        <v/>
      </c>
      <c r="N40" s="31">
        <f>IF(AND(Cronograma!$F41&lt;=DATE(2027,5,31),Cronograma!$G41&gt;=DATE(2027,5,1)),1,0)</f>
        <v/>
      </c>
      <c r="O40" s="31">
        <f>IF(AND(Cronograma!$F41&lt;=DATE(2027,6,30),Cronograma!$G41&gt;=DATE(2027,6,1)),1,0)</f>
        <v/>
      </c>
      <c r="P40" s="37">
        <f>IF(AND(Cronograma!$F41&lt;=DATE(2027,7,31),Cronograma!$G41&gt;=DATE(2027,7,1)),1,0)</f>
        <v/>
      </c>
      <c r="Q40" s="31">
        <f>IF(AND(Cronograma!$F41&lt;=DATE(2027,8,31),Cronograma!$G41&gt;=DATE(2027,8,1)),1,0)</f>
        <v/>
      </c>
      <c r="R40" s="31">
        <f>IF(AND(Cronograma!$F41&lt;=DATE(2027,9,30),Cronograma!$G41&gt;=DATE(2027,9,1)),1,0)</f>
        <v/>
      </c>
      <c r="S40" s="31">
        <f>IF(AND(Cronograma!$F41&lt;=DATE(2027,10,31),Cronograma!$G41&gt;=DATE(2027,10,1)),1,0)</f>
        <v/>
      </c>
      <c r="T40" s="31">
        <f>IF(AND(Cronograma!$F41&lt;=DATE(2027,11,30),Cronograma!$G41&gt;=DATE(2027,11,1)),1,0)</f>
        <v/>
      </c>
      <c r="U40" s="31">
        <f>IF(AND(Cronograma!$F41&lt;=DATE(2027,12,31),Cronograma!$G41&gt;=DATE(2027,12,1)),1,0)</f>
        <v/>
      </c>
    </row>
    <row r="41" ht="15" customHeight="1">
      <c r="A41" s="8">
        <f>Cronograma!A42</f>
        <v/>
      </c>
      <c r="B41" s="38">
        <f>Cronograma!B42</f>
        <v/>
      </c>
      <c r="C41" s="28">
        <f>Cronograma!C42</f>
        <v/>
      </c>
      <c r="D41" s="29">
        <f>Cronograma!E42</f>
        <v/>
      </c>
      <c r="E41" s="31">
        <f>IF(AND(Cronograma!$F42&lt;=DATE(2026,8,31),Cronograma!$G42&gt;=DATE(2026,8,1)),1,0)</f>
        <v/>
      </c>
      <c r="F41" s="31">
        <f>IF(AND(Cronograma!$F42&lt;=DATE(2026,9,30),Cronograma!$G42&gt;=DATE(2026,9,1)),1,0)</f>
        <v/>
      </c>
      <c r="G41" s="31">
        <f>IF(AND(Cronograma!$F42&lt;=DATE(2026,10,31),Cronograma!$G42&gt;=DATE(2026,10,1)),1,0)</f>
        <v/>
      </c>
      <c r="H41" s="31">
        <f>IF(AND(Cronograma!$F42&lt;=DATE(2026,11,30),Cronograma!$G42&gt;=DATE(2026,11,1)),1,0)</f>
        <v/>
      </c>
      <c r="I41" s="31">
        <f>IF(AND(Cronograma!$F42&lt;=DATE(2026,12,31),Cronograma!$G42&gt;=DATE(2026,12,1)),1,0)</f>
        <v/>
      </c>
      <c r="J41" s="31">
        <f>IF(AND(Cronograma!$F42&lt;=DATE(2027,1,31),Cronograma!$G42&gt;=DATE(2027,1,1)),1,0)</f>
        <v/>
      </c>
      <c r="K41" s="31">
        <f>IF(AND(Cronograma!$F42&lt;=DATE(2027,2,28),Cronograma!$G42&gt;=DATE(2027,2,1)),1,0)</f>
        <v/>
      </c>
      <c r="L41" s="31">
        <f>IF(AND(Cronograma!$F42&lt;=DATE(2027,3,31),Cronograma!$G42&gt;=DATE(2027,3,1)),1,0)</f>
        <v/>
      </c>
      <c r="M41" s="39">
        <f>IF(AND(Cronograma!$F42&lt;=DATE(2027,4,30),Cronograma!$G42&gt;=DATE(2027,4,1)),1,0)</f>
        <v/>
      </c>
      <c r="N41" s="39">
        <f>IF(AND(Cronograma!$F42&lt;=DATE(2027,5,31),Cronograma!$G42&gt;=DATE(2027,5,1)),1,0)</f>
        <v/>
      </c>
      <c r="O41" s="31">
        <f>IF(AND(Cronograma!$F42&lt;=DATE(2027,6,30),Cronograma!$G42&gt;=DATE(2027,6,1)),1,0)</f>
        <v/>
      </c>
      <c r="P41" s="31">
        <f>IF(AND(Cronograma!$F42&lt;=DATE(2027,7,31),Cronograma!$G42&gt;=DATE(2027,7,1)),1,0)</f>
        <v/>
      </c>
      <c r="Q41" s="31">
        <f>IF(AND(Cronograma!$F42&lt;=DATE(2027,8,31),Cronograma!$G42&gt;=DATE(2027,8,1)),1,0)</f>
        <v/>
      </c>
      <c r="R41" s="31">
        <f>IF(AND(Cronograma!$F42&lt;=DATE(2027,9,30),Cronograma!$G42&gt;=DATE(2027,9,1)),1,0)</f>
        <v/>
      </c>
      <c r="S41" s="31">
        <f>IF(AND(Cronograma!$F42&lt;=DATE(2027,10,31),Cronograma!$G42&gt;=DATE(2027,10,1)),1,0)</f>
        <v/>
      </c>
      <c r="T41" s="31">
        <f>IF(AND(Cronograma!$F42&lt;=DATE(2027,11,30),Cronograma!$G42&gt;=DATE(2027,11,1)),1,0)</f>
        <v/>
      </c>
      <c r="U41" s="31">
        <f>IF(AND(Cronograma!$F42&lt;=DATE(2027,12,31),Cronograma!$G42&gt;=DATE(2027,12,1)),1,0)</f>
        <v/>
      </c>
    </row>
    <row r="42" ht="15" customHeight="1">
      <c r="A42" s="8">
        <f>Cronograma!A43</f>
        <v/>
      </c>
      <c r="B42" s="38">
        <f>Cronograma!B43</f>
        <v/>
      </c>
      <c r="C42" s="28">
        <f>Cronograma!C43</f>
        <v/>
      </c>
      <c r="D42" s="29">
        <f>Cronograma!E43</f>
        <v/>
      </c>
      <c r="E42" s="31">
        <f>IF(AND(Cronograma!$F43&lt;=DATE(2026,8,31),Cronograma!$G43&gt;=DATE(2026,8,1)),1,0)</f>
        <v/>
      </c>
      <c r="F42" s="31">
        <f>IF(AND(Cronograma!$F43&lt;=DATE(2026,9,30),Cronograma!$G43&gt;=DATE(2026,9,1)),1,0)</f>
        <v/>
      </c>
      <c r="G42" s="31">
        <f>IF(AND(Cronograma!$F43&lt;=DATE(2026,10,31),Cronograma!$G43&gt;=DATE(2026,10,1)),1,0)</f>
        <v/>
      </c>
      <c r="H42" s="31">
        <f>IF(AND(Cronograma!$F43&lt;=DATE(2026,11,30),Cronograma!$G43&gt;=DATE(2026,11,1)),1,0)</f>
        <v/>
      </c>
      <c r="I42" s="31">
        <f>IF(AND(Cronograma!$F43&lt;=DATE(2026,12,31),Cronograma!$G43&gt;=DATE(2026,12,1)),1,0)</f>
        <v/>
      </c>
      <c r="J42" s="31">
        <f>IF(AND(Cronograma!$F43&lt;=DATE(2027,1,31),Cronograma!$G43&gt;=DATE(2027,1,1)),1,0)</f>
        <v/>
      </c>
      <c r="K42" s="31">
        <f>IF(AND(Cronograma!$F43&lt;=DATE(2027,2,28),Cronograma!$G43&gt;=DATE(2027,2,1)),1,0)</f>
        <v/>
      </c>
      <c r="L42" s="31">
        <f>IF(AND(Cronograma!$F43&lt;=DATE(2027,3,31),Cronograma!$G43&gt;=DATE(2027,3,1)),1,0)</f>
        <v/>
      </c>
      <c r="M42" s="39">
        <f>IF(AND(Cronograma!$F43&lt;=DATE(2027,4,30),Cronograma!$G43&gt;=DATE(2027,4,1)),1,0)</f>
        <v/>
      </c>
      <c r="N42" s="39">
        <f>IF(AND(Cronograma!$F43&lt;=DATE(2027,5,31),Cronograma!$G43&gt;=DATE(2027,5,1)),1,0)</f>
        <v/>
      </c>
      <c r="O42" s="31">
        <f>IF(AND(Cronograma!$F43&lt;=DATE(2027,6,30),Cronograma!$G43&gt;=DATE(2027,6,1)),1,0)</f>
        <v/>
      </c>
      <c r="P42" s="31">
        <f>IF(AND(Cronograma!$F43&lt;=DATE(2027,7,31),Cronograma!$G43&gt;=DATE(2027,7,1)),1,0)</f>
        <v/>
      </c>
      <c r="Q42" s="31">
        <f>IF(AND(Cronograma!$F43&lt;=DATE(2027,8,31),Cronograma!$G43&gt;=DATE(2027,8,1)),1,0)</f>
        <v/>
      </c>
      <c r="R42" s="31">
        <f>IF(AND(Cronograma!$F43&lt;=DATE(2027,9,30),Cronograma!$G43&gt;=DATE(2027,9,1)),1,0)</f>
        <v/>
      </c>
      <c r="S42" s="31">
        <f>IF(AND(Cronograma!$F43&lt;=DATE(2027,10,31),Cronograma!$G43&gt;=DATE(2027,10,1)),1,0)</f>
        <v/>
      </c>
      <c r="T42" s="31">
        <f>IF(AND(Cronograma!$F43&lt;=DATE(2027,11,30),Cronograma!$G43&gt;=DATE(2027,11,1)),1,0)</f>
        <v/>
      </c>
      <c r="U42" s="31">
        <f>IF(AND(Cronograma!$F43&lt;=DATE(2027,12,31),Cronograma!$G43&gt;=DATE(2027,12,1)),1,0)</f>
        <v/>
      </c>
    </row>
    <row r="43" ht="15" customHeight="1">
      <c r="A43" s="8">
        <f>Cronograma!A44</f>
        <v/>
      </c>
      <c r="B43" s="38">
        <f>Cronograma!B44</f>
        <v/>
      </c>
      <c r="C43" s="28">
        <f>Cronograma!C44</f>
        <v/>
      </c>
      <c r="D43" s="29">
        <f>Cronograma!E44</f>
        <v/>
      </c>
      <c r="E43" s="31">
        <f>IF(AND(Cronograma!$F44&lt;=DATE(2026,8,31),Cronograma!$G44&gt;=DATE(2026,8,1)),1,0)</f>
        <v/>
      </c>
      <c r="F43" s="31">
        <f>IF(AND(Cronograma!$F44&lt;=DATE(2026,9,30),Cronograma!$G44&gt;=DATE(2026,9,1)),1,0)</f>
        <v/>
      </c>
      <c r="G43" s="31">
        <f>IF(AND(Cronograma!$F44&lt;=DATE(2026,10,31),Cronograma!$G44&gt;=DATE(2026,10,1)),1,0)</f>
        <v/>
      </c>
      <c r="H43" s="31">
        <f>IF(AND(Cronograma!$F44&lt;=DATE(2026,11,30),Cronograma!$G44&gt;=DATE(2026,11,1)),1,0)</f>
        <v/>
      </c>
      <c r="I43" s="31">
        <f>IF(AND(Cronograma!$F44&lt;=DATE(2026,12,31),Cronograma!$G44&gt;=DATE(2026,12,1)),1,0)</f>
        <v/>
      </c>
      <c r="J43" s="31">
        <f>IF(AND(Cronograma!$F44&lt;=DATE(2027,1,31),Cronograma!$G44&gt;=DATE(2027,1,1)),1,0)</f>
        <v/>
      </c>
      <c r="K43" s="31">
        <f>IF(AND(Cronograma!$F44&lt;=DATE(2027,2,28),Cronograma!$G44&gt;=DATE(2027,2,1)),1,0)</f>
        <v/>
      </c>
      <c r="L43" s="31">
        <f>IF(AND(Cronograma!$F44&lt;=DATE(2027,3,31),Cronograma!$G44&gt;=DATE(2027,3,1)),1,0)</f>
        <v/>
      </c>
      <c r="M43" s="31">
        <f>IF(AND(Cronograma!$F44&lt;=DATE(2027,4,30),Cronograma!$G44&gt;=DATE(2027,4,1)),1,0)</f>
        <v/>
      </c>
      <c r="N43" s="39">
        <f>IF(AND(Cronograma!$F44&lt;=DATE(2027,5,31),Cronograma!$G44&gt;=DATE(2027,5,1)),1,0)</f>
        <v/>
      </c>
      <c r="O43" s="31">
        <f>IF(AND(Cronograma!$F44&lt;=DATE(2027,6,30),Cronograma!$G44&gt;=DATE(2027,6,1)),1,0)</f>
        <v/>
      </c>
      <c r="P43" s="31">
        <f>IF(AND(Cronograma!$F44&lt;=DATE(2027,7,31),Cronograma!$G44&gt;=DATE(2027,7,1)),1,0)</f>
        <v/>
      </c>
      <c r="Q43" s="31">
        <f>IF(AND(Cronograma!$F44&lt;=DATE(2027,8,31),Cronograma!$G44&gt;=DATE(2027,8,1)),1,0)</f>
        <v/>
      </c>
      <c r="R43" s="31">
        <f>IF(AND(Cronograma!$F44&lt;=DATE(2027,9,30),Cronograma!$G44&gt;=DATE(2027,9,1)),1,0)</f>
        <v/>
      </c>
      <c r="S43" s="31">
        <f>IF(AND(Cronograma!$F44&lt;=DATE(2027,10,31),Cronograma!$G44&gt;=DATE(2027,10,1)),1,0)</f>
        <v/>
      </c>
      <c r="T43" s="31">
        <f>IF(AND(Cronograma!$F44&lt;=DATE(2027,11,30),Cronograma!$G44&gt;=DATE(2027,11,1)),1,0)</f>
        <v/>
      </c>
      <c r="U43" s="31">
        <f>IF(AND(Cronograma!$F44&lt;=DATE(2027,12,31),Cronograma!$G44&gt;=DATE(2027,12,1)),1,0)</f>
        <v/>
      </c>
    </row>
    <row r="44" ht="15" customHeight="1">
      <c r="A44" s="8">
        <f>Cronograma!A45</f>
        <v/>
      </c>
      <c r="B44" s="38">
        <f>Cronograma!B45</f>
        <v/>
      </c>
      <c r="C44" s="28">
        <f>Cronograma!C45</f>
        <v/>
      </c>
      <c r="D44" s="29">
        <f>Cronograma!E45</f>
        <v/>
      </c>
      <c r="E44" s="31">
        <f>IF(AND(Cronograma!$F45&lt;=DATE(2026,8,31),Cronograma!$G45&gt;=DATE(2026,8,1)),1,0)</f>
        <v/>
      </c>
      <c r="F44" s="31">
        <f>IF(AND(Cronograma!$F45&lt;=DATE(2026,9,30),Cronograma!$G45&gt;=DATE(2026,9,1)),1,0)</f>
        <v/>
      </c>
      <c r="G44" s="31">
        <f>IF(AND(Cronograma!$F45&lt;=DATE(2026,10,31),Cronograma!$G45&gt;=DATE(2026,10,1)),1,0)</f>
        <v/>
      </c>
      <c r="H44" s="31">
        <f>IF(AND(Cronograma!$F45&lt;=DATE(2026,11,30),Cronograma!$G45&gt;=DATE(2026,11,1)),1,0)</f>
        <v/>
      </c>
      <c r="I44" s="31">
        <f>IF(AND(Cronograma!$F45&lt;=DATE(2026,12,31),Cronograma!$G45&gt;=DATE(2026,12,1)),1,0)</f>
        <v/>
      </c>
      <c r="J44" s="31">
        <f>IF(AND(Cronograma!$F45&lt;=DATE(2027,1,31),Cronograma!$G45&gt;=DATE(2027,1,1)),1,0)</f>
        <v/>
      </c>
      <c r="K44" s="31">
        <f>IF(AND(Cronograma!$F45&lt;=DATE(2027,2,28),Cronograma!$G45&gt;=DATE(2027,2,1)),1,0)</f>
        <v/>
      </c>
      <c r="L44" s="31">
        <f>IF(AND(Cronograma!$F45&lt;=DATE(2027,3,31),Cronograma!$G45&gt;=DATE(2027,3,1)),1,0)</f>
        <v/>
      </c>
      <c r="M44" s="31">
        <f>IF(AND(Cronograma!$F45&lt;=DATE(2027,4,30),Cronograma!$G45&gt;=DATE(2027,4,1)),1,0)</f>
        <v/>
      </c>
      <c r="N44" s="39">
        <f>IF(AND(Cronograma!$F45&lt;=DATE(2027,5,31),Cronograma!$G45&gt;=DATE(2027,5,1)),1,0)</f>
        <v/>
      </c>
      <c r="O44" s="31">
        <f>IF(AND(Cronograma!$F45&lt;=DATE(2027,6,30),Cronograma!$G45&gt;=DATE(2027,6,1)),1,0)</f>
        <v/>
      </c>
      <c r="P44" s="31">
        <f>IF(AND(Cronograma!$F45&lt;=DATE(2027,7,31),Cronograma!$G45&gt;=DATE(2027,7,1)),1,0)</f>
        <v/>
      </c>
      <c r="Q44" s="31">
        <f>IF(AND(Cronograma!$F45&lt;=DATE(2027,8,31),Cronograma!$G45&gt;=DATE(2027,8,1)),1,0)</f>
        <v/>
      </c>
      <c r="R44" s="31">
        <f>IF(AND(Cronograma!$F45&lt;=DATE(2027,9,30),Cronograma!$G45&gt;=DATE(2027,9,1)),1,0)</f>
        <v/>
      </c>
      <c r="S44" s="31">
        <f>IF(AND(Cronograma!$F45&lt;=DATE(2027,10,31),Cronograma!$G45&gt;=DATE(2027,10,1)),1,0)</f>
        <v/>
      </c>
      <c r="T44" s="31">
        <f>IF(AND(Cronograma!$F45&lt;=DATE(2027,11,30),Cronograma!$G45&gt;=DATE(2027,11,1)),1,0)</f>
        <v/>
      </c>
      <c r="U44" s="31">
        <f>IF(AND(Cronograma!$F45&lt;=DATE(2027,12,31),Cronograma!$G45&gt;=DATE(2027,12,1)),1,0)</f>
        <v/>
      </c>
    </row>
    <row r="45" ht="15" customHeight="1">
      <c r="A45" s="8">
        <f>Cronograma!A46</f>
        <v/>
      </c>
      <c r="B45" s="38">
        <f>Cronograma!B46</f>
        <v/>
      </c>
      <c r="C45" s="28">
        <f>Cronograma!C46</f>
        <v/>
      </c>
      <c r="D45" s="29">
        <f>Cronograma!E46</f>
        <v/>
      </c>
      <c r="E45" s="31">
        <f>IF(AND(Cronograma!$F46&lt;=DATE(2026,8,31),Cronograma!$G46&gt;=DATE(2026,8,1)),1,0)</f>
        <v/>
      </c>
      <c r="F45" s="31">
        <f>IF(AND(Cronograma!$F46&lt;=DATE(2026,9,30),Cronograma!$G46&gt;=DATE(2026,9,1)),1,0)</f>
        <v/>
      </c>
      <c r="G45" s="31">
        <f>IF(AND(Cronograma!$F46&lt;=DATE(2026,10,31),Cronograma!$G46&gt;=DATE(2026,10,1)),1,0)</f>
        <v/>
      </c>
      <c r="H45" s="31">
        <f>IF(AND(Cronograma!$F46&lt;=DATE(2026,11,30),Cronograma!$G46&gt;=DATE(2026,11,1)),1,0)</f>
        <v/>
      </c>
      <c r="I45" s="31">
        <f>IF(AND(Cronograma!$F46&lt;=DATE(2026,12,31),Cronograma!$G46&gt;=DATE(2026,12,1)),1,0)</f>
        <v/>
      </c>
      <c r="J45" s="31">
        <f>IF(AND(Cronograma!$F46&lt;=DATE(2027,1,31),Cronograma!$G46&gt;=DATE(2027,1,1)),1,0)</f>
        <v/>
      </c>
      <c r="K45" s="31">
        <f>IF(AND(Cronograma!$F46&lt;=DATE(2027,2,28),Cronograma!$G46&gt;=DATE(2027,2,1)),1,0)</f>
        <v/>
      </c>
      <c r="L45" s="31">
        <f>IF(AND(Cronograma!$F46&lt;=DATE(2027,3,31),Cronograma!$G46&gt;=DATE(2027,3,1)),1,0)</f>
        <v/>
      </c>
      <c r="M45" s="31">
        <f>IF(AND(Cronograma!$F46&lt;=DATE(2027,4,30),Cronograma!$G46&gt;=DATE(2027,4,1)),1,0)</f>
        <v/>
      </c>
      <c r="N45" s="39">
        <f>IF(AND(Cronograma!$F46&lt;=DATE(2027,5,31),Cronograma!$G46&gt;=DATE(2027,5,1)),1,0)</f>
        <v/>
      </c>
      <c r="O45" s="39">
        <f>IF(AND(Cronograma!$F46&lt;=DATE(2027,6,30),Cronograma!$G46&gt;=DATE(2027,6,1)),1,0)</f>
        <v/>
      </c>
      <c r="P45" s="31">
        <f>IF(AND(Cronograma!$F46&lt;=DATE(2027,7,31),Cronograma!$G46&gt;=DATE(2027,7,1)),1,0)</f>
        <v/>
      </c>
      <c r="Q45" s="31">
        <f>IF(AND(Cronograma!$F46&lt;=DATE(2027,8,31),Cronograma!$G46&gt;=DATE(2027,8,1)),1,0)</f>
        <v/>
      </c>
      <c r="R45" s="31">
        <f>IF(AND(Cronograma!$F46&lt;=DATE(2027,9,30),Cronograma!$G46&gt;=DATE(2027,9,1)),1,0)</f>
        <v/>
      </c>
      <c r="S45" s="31">
        <f>IF(AND(Cronograma!$F46&lt;=DATE(2027,10,31),Cronograma!$G46&gt;=DATE(2027,10,1)),1,0)</f>
        <v/>
      </c>
      <c r="T45" s="31">
        <f>IF(AND(Cronograma!$F46&lt;=DATE(2027,11,30),Cronograma!$G46&gt;=DATE(2027,11,1)),1,0)</f>
        <v/>
      </c>
      <c r="U45" s="31">
        <f>IF(AND(Cronograma!$F46&lt;=DATE(2027,12,31),Cronograma!$G46&gt;=DATE(2027,12,1)),1,0)</f>
        <v/>
      </c>
    </row>
    <row r="46" ht="15" customHeight="1">
      <c r="A46" s="8">
        <f>Cronograma!A47</f>
        <v/>
      </c>
      <c r="B46" s="38">
        <f>Cronograma!B47</f>
        <v/>
      </c>
      <c r="C46" s="28">
        <f>Cronograma!C47</f>
        <v/>
      </c>
      <c r="D46" s="29">
        <f>Cronograma!E47</f>
        <v/>
      </c>
      <c r="E46" s="31">
        <f>IF(AND(Cronograma!$F47&lt;=DATE(2026,8,31),Cronograma!$G47&gt;=DATE(2026,8,1)),1,0)</f>
        <v/>
      </c>
      <c r="F46" s="31">
        <f>IF(AND(Cronograma!$F47&lt;=DATE(2026,9,30),Cronograma!$G47&gt;=DATE(2026,9,1)),1,0)</f>
        <v/>
      </c>
      <c r="G46" s="31">
        <f>IF(AND(Cronograma!$F47&lt;=DATE(2026,10,31),Cronograma!$G47&gt;=DATE(2026,10,1)),1,0)</f>
        <v/>
      </c>
      <c r="H46" s="31">
        <f>IF(AND(Cronograma!$F47&lt;=DATE(2026,11,30),Cronograma!$G47&gt;=DATE(2026,11,1)),1,0)</f>
        <v/>
      </c>
      <c r="I46" s="31">
        <f>IF(AND(Cronograma!$F47&lt;=DATE(2026,12,31),Cronograma!$G47&gt;=DATE(2026,12,1)),1,0)</f>
        <v/>
      </c>
      <c r="J46" s="31">
        <f>IF(AND(Cronograma!$F47&lt;=DATE(2027,1,31),Cronograma!$G47&gt;=DATE(2027,1,1)),1,0)</f>
        <v/>
      </c>
      <c r="K46" s="31">
        <f>IF(AND(Cronograma!$F47&lt;=DATE(2027,2,28),Cronograma!$G47&gt;=DATE(2027,2,1)),1,0)</f>
        <v/>
      </c>
      <c r="L46" s="31">
        <f>IF(AND(Cronograma!$F47&lt;=DATE(2027,3,31),Cronograma!$G47&gt;=DATE(2027,3,1)),1,0)</f>
        <v/>
      </c>
      <c r="M46" s="31">
        <f>IF(AND(Cronograma!$F47&lt;=DATE(2027,4,30),Cronograma!$G47&gt;=DATE(2027,4,1)),1,0)</f>
        <v/>
      </c>
      <c r="N46" s="31">
        <f>IF(AND(Cronograma!$F47&lt;=DATE(2027,5,31),Cronograma!$G47&gt;=DATE(2027,5,1)),1,0)</f>
        <v/>
      </c>
      <c r="O46" s="39">
        <f>IF(AND(Cronograma!$F47&lt;=DATE(2027,6,30),Cronograma!$G47&gt;=DATE(2027,6,1)),1,0)</f>
        <v/>
      </c>
      <c r="P46" s="39">
        <f>IF(AND(Cronograma!$F47&lt;=DATE(2027,7,31),Cronograma!$G47&gt;=DATE(2027,7,1)),1,0)</f>
        <v/>
      </c>
      <c r="Q46" s="31">
        <f>IF(AND(Cronograma!$F47&lt;=DATE(2027,8,31),Cronograma!$G47&gt;=DATE(2027,8,1)),1,0)</f>
        <v/>
      </c>
      <c r="R46" s="31">
        <f>IF(AND(Cronograma!$F47&lt;=DATE(2027,9,30),Cronograma!$G47&gt;=DATE(2027,9,1)),1,0)</f>
        <v/>
      </c>
      <c r="S46" s="31">
        <f>IF(AND(Cronograma!$F47&lt;=DATE(2027,10,31),Cronograma!$G47&gt;=DATE(2027,10,1)),1,0)</f>
        <v/>
      </c>
      <c r="T46" s="31">
        <f>IF(AND(Cronograma!$F47&lt;=DATE(2027,11,30),Cronograma!$G47&gt;=DATE(2027,11,1)),1,0)</f>
        <v/>
      </c>
      <c r="U46" s="31">
        <f>IF(AND(Cronograma!$F47&lt;=DATE(2027,12,31),Cronograma!$G47&gt;=DATE(2027,12,1)),1,0)</f>
        <v/>
      </c>
    </row>
    <row r="47" ht="15" customHeight="1">
      <c r="A47" s="8">
        <f>Cronograma!A48</f>
        <v/>
      </c>
      <c r="B47" s="38">
        <f>Cronograma!B48</f>
        <v/>
      </c>
      <c r="C47" s="28">
        <f>Cronograma!C48</f>
        <v/>
      </c>
      <c r="D47" s="29">
        <f>Cronograma!E48</f>
        <v/>
      </c>
      <c r="E47" s="31">
        <f>IF(AND(Cronograma!$F48&lt;=DATE(2026,8,31),Cronograma!$G48&gt;=DATE(2026,8,1)),1,0)</f>
        <v/>
      </c>
      <c r="F47" s="31">
        <f>IF(AND(Cronograma!$F48&lt;=DATE(2026,9,30),Cronograma!$G48&gt;=DATE(2026,9,1)),1,0)</f>
        <v/>
      </c>
      <c r="G47" s="31">
        <f>IF(AND(Cronograma!$F48&lt;=DATE(2026,10,31),Cronograma!$G48&gt;=DATE(2026,10,1)),1,0)</f>
        <v/>
      </c>
      <c r="H47" s="31">
        <f>IF(AND(Cronograma!$F48&lt;=DATE(2026,11,30),Cronograma!$G48&gt;=DATE(2026,11,1)),1,0)</f>
        <v/>
      </c>
      <c r="I47" s="31">
        <f>IF(AND(Cronograma!$F48&lt;=DATE(2026,12,31),Cronograma!$G48&gt;=DATE(2026,12,1)),1,0)</f>
        <v/>
      </c>
      <c r="J47" s="31">
        <f>IF(AND(Cronograma!$F48&lt;=DATE(2027,1,31),Cronograma!$G48&gt;=DATE(2027,1,1)),1,0)</f>
        <v/>
      </c>
      <c r="K47" s="31">
        <f>IF(AND(Cronograma!$F48&lt;=DATE(2027,2,28),Cronograma!$G48&gt;=DATE(2027,2,1)),1,0)</f>
        <v/>
      </c>
      <c r="L47" s="31">
        <f>IF(AND(Cronograma!$F48&lt;=DATE(2027,3,31),Cronograma!$G48&gt;=DATE(2027,3,1)),1,0)</f>
        <v/>
      </c>
      <c r="M47" s="31">
        <f>IF(AND(Cronograma!$F48&lt;=DATE(2027,4,30),Cronograma!$G48&gt;=DATE(2027,4,1)),1,0)</f>
        <v/>
      </c>
      <c r="N47" s="31">
        <f>IF(AND(Cronograma!$F48&lt;=DATE(2027,5,31),Cronograma!$G48&gt;=DATE(2027,5,1)),1,0)</f>
        <v/>
      </c>
      <c r="O47" s="39">
        <f>IF(AND(Cronograma!$F48&lt;=DATE(2027,6,30),Cronograma!$G48&gt;=DATE(2027,6,1)),1,0)</f>
        <v/>
      </c>
      <c r="P47" s="39">
        <f>IF(AND(Cronograma!$F48&lt;=DATE(2027,7,31),Cronograma!$G48&gt;=DATE(2027,7,1)),1,0)</f>
        <v/>
      </c>
      <c r="Q47" s="31">
        <f>IF(AND(Cronograma!$F48&lt;=DATE(2027,8,31),Cronograma!$G48&gt;=DATE(2027,8,1)),1,0)</f>
        <v/>
      </c>
      <c r="R47" s="31">
        <f>IF(AND(Cronograma!$F48&lt;=DATE(2027,9,30),Cronograma!$G48&gt;=DATE(2027,9,1)),1,0)</f>
        <v/>
      </c>
      <c r="S47" s="31">
        <f>IF(AND(Cronograma!$F48&lt;=DATE(2027,10,31),Cronograma!$G48&gt;=DATE(2027,10,1)),1,0)</f>
        <v/>
      </c>
      <c r="T47" s="31">
        <f>IF(AND(Cronograma!$F48&lt;=DATE(2027,11,30),Cronograma!$G48&gt;=DATE(2027,11,1)),1,0)</f>
        <v/>
      </c>
      <c r="U47" s="31">
        <f>IF(AND(Cronograma!$F48&lt;=DATE(2027,12,31),Cronograma!$G48&gt;=DATE(2027,12,1)),1,0)</f>
        <v/>
      </c>
    </row>
    <row r="48" ht="15" customHeight="1">
      <c r="A48" s="8">
        <f>Cronograma!A49</f>
        <v/>
      </c>
      <c r="B48" s="40">
        <f>Cronograma!B49</f>
        <v/>
      </c>
      <c r="C48" s="28">
        <f>Cronograma!C49</f>
        <v/>
      </c>
      <c r="D48" s="29">
        <f>Cronograma!E49</f>
        <v/>
      </c>
      <c r="E48" s="31">
        <f>IF(AND(Cronograma!$F49&lt;=DATE(2026,8,31),Cronograma!$G49&gt;=DATE(2026,8,1)),1,0)</f>
        <v/>
      </c>
      <c r="F48" s="31">
        <f>IF(AND(Cronograma!$F49&lt;=DATE(2026,9,30),Cronograma!$G49&gt;=DATE(2026,9,1)),1,0)</f>
        <v/>
      </c>
      <c r="G48" s="31">
        <f>IF(AND(Cronograma!$F49&lt;=DATE(2026,10,31),Cronograma!$G49&gt;=DATE(2026,10,1)),1,0)</f>
        <v/>
      </c>
      <c r="H48" s="31">
        <f>IF(AND(Cronograma!$F49&lt;=DATE(2026,11,30),Cronograma!$G49&gt;=DATE(2026,11,1)),1,0)</f>
        <v/>
      </c>
      <c r="I48" s="31">
        <f>IF(AND(Cronograma!$F49&lt;=DATE(2026,12,31),Cronograma!$G49&gt;=DATE(2026,12,1)),1,0)</f>
        <v/>
      </c>
      <c r="J48" s="31">
        <f>IF(AND(Cronograma!$F49&lt;=DATE(2027,1,31),Cronograma!$G49&gt;=DATE(2027,1,1)),1,0)</f>
        <v/>
      </c>
      <c r="K48" s="31">
        <f>IF(AND(Cronograma!$F49&lt;=DATE(2027,2,28),Cronograma!$G49&gt;=DATE(2027,2,1)),1,0)</f>
        <v/>
      </c>
      <c r="L48" s="31">
        <f>IF(AND(Cronograma!$F49&lt;=DATE(2027,3,31),Cronograma!$G49&gt;=DATE(2027,3,1)),1,0)</f>
        <v/>
      </c>
      <c r="M48" s="31">
        <f>IF(AND(Cronograma!$F49&lt;=DATE(2027,4,30),Cronograma!$G49&gt;=DATE(2027,4,1)),1,0)</f>
        <v/>
      </c>
      <c r="N48" s="31">
        <f>IF(AND(Cronograma!$F49&lt;=DATE(2027,5,31),Cronograma!$G49&gt;=DATE(2027,5,1)),1,0)</f>
        <v/>
      </c>
      <c r="O48" s="31">
        <f>IF(AND(Cronograma!$F49&lt;=DATE(2027,6,30),Cronograma!$G49&gt;=DATE(2027,6,1)),1,0)</f>
        <v/>
      </c>
      <c r="P48" s="41">
        <f>IF(AND(Cronograma!$F49&lt;=DATE(2027,7,31),Cronograma!$G49&gt;=DATE(2027,7,1)),1,0)</f>
        <v/>
      </c>
      <c r="Q48" s="41">
        <f>IF(AND(Cronograma!$F49&lt;=DATE(2027,8,31),Cronograma!$G49&gt;=DATE(2027,8,1)),1,0)</f>
        <v/>
      </c>
      <c r="R48" s="31">
        <f>IF(AND(Cronograma!$F49&lt;=DATE(2027,9,30),Cronograma!$G49&gt;=DATE(2027,9,1)),1,0)</f>
        <v/>
      </c>
      <c r="S48" s="31">
        <f>IF(AND(Cronograma!$F49&lt;=DATE(2027,10,31),Cronograma!$G49&gt;=DATE(2027,10,1)),1,0)</f>
        <v/>
      </c>
      <c r="T48" s="31">
        <f>IF(AND(Cronograma!$F49&lt;=DATE(2027,11,30),Cronograma!$G49&gt;=DATE(2027,11,1)),1,0)</f>
        <v/>
      </c>
      <c r="U48" s="31">
        <f>IF(AND(Cronograma!$F49&lt;=DATE(2027,12,31),Cronograma!$G49&gt;=DATE(2027,12,1)),1,0)</f>
        <v/>
      </c>
    </row>
    <row r="49" ht="15" customHeight="1">
      <c r="A49" s="8">
        <f>Cronograma!A50</f>
        <v/>
      </c>
      <c r="B49" s="40">
        <f>Cronograma!B50</f>
        <v/>
      </c>
      <c r="C49" s="28">
        <f>Cronograma!C50</f>
        <v/>
      </c>
      <c r="D49" s="29">
        <f>Cronograma!E50</f>
        <v/>
      </c>
      <c r="E49" s="31">
        <f>IF(AND(Cronograma!$F50&lt;=DATE(2026,8,31),Cronograma!$G50&gt;=DATE(2026,8,1)),1,0)</f>
        <v/>
      </c>
      <c r="F49" s="31">
        <f>IF(AND(Cronograma!$F50&lt;=DATE(2026,9,30),Cronograma!$G50&gt;=DATE(2026,9,1)),1,0)</f>
        <v/>
      </c>
      <c r="G49" s="31">
        <f>IF(AND(Cronograma!$F50&lt;=DATE(2026,10,31),Cronograma!$G50&gt;=DATE(2026,10,1)),1,0)</f>
        <v/>
      </c>
      <c r="H49" s="31">
        <f>IF(AND(Cronograma!$F50&lt;=DATE(2026,11,30),Cronograma!$G50&gt;=DATE(2026,11,1)),1,0)</f>
        <v/>
      </c>
      <c r="I49" s="31">
        <f>IF(AND(Cronograma!$F50&lt;=DATE(2026,12,31),Cronograma!$G50&gt;=DATE(2026,12,1)),1,0)</f>
        <v/>
      </c>
      <c r="J49" s="31">
        <f>IF(AND(Cronograma!$F50&lt;=DATE(2027,1,31),Cronograma!$G50&gt;=DATE(2027,1,1)),1,0)</f>
        <v/>
      </c>
      <c r="K49" s="31">
        <f>IF(AND(Cronograma!$F50&lt;=DATE(2027,2,28),Cronograma!$G50&gt;=DATE(2027,2,1)),1,0)</f>
        <v/>
      </c>
      <c r="L49" s="31">
        <f>IF(AND(Cronograma!$F50&lt;=DATE(2027,3,31),Cronograma!$G50&gt;=DATE(2027,3,1)),1,0)</f>
        <v/>
      </c>
      <c r="M49" s="31">
        <f>IF(AND(Cronograma!$F50&lt;=DATE(2027,4,30),Cronograma!$G50&gt;=DATE(2027,4,1)),1,0)</f>
        <v/>
      </c>
      <c r="N49" s="31">
        <f>IF(AND(Cronograma!$F50&lt;=DATE(2027,5,31),Cronograma!$G50&gt;=DATE(2027,5,1)),1,0)</f>
        <v/>
      </c>
      <c r="O49" s="31">
        <f>IF(AND(Cronograma!$F50&lt;=DATE(2027,6,30),Cronograma!$G50&gt;=DATE(2027,6,1)),1,0)</f>
        <v/>
      </c>
      <c r="P49" s="41">
        <f>IF(AND(Cronograma!$F50&lt;=DATE(2027,7,31),Cronograma!$G50&gt;=DATE(2027,7,1)),1,0)</f>
        <v/>
      </c>
      <c r="Q49" s="41">
        <f>IF(AND(Cronograma!$F50&lt;=DATE(2027,8,31),Cronograma!$G50&gt;=DATE(2027,8,1)),1,0)</f>
        <v/>
      </c>
      <c r="R49" s="31">
        <f>IF(AND(Cronograma!$F50&lt;=DATE(2027,9,30),Cronograma!$G50&gt;=DATE(2027,9,1)),1,0)</f>
        <v/>
      </c>
      <c r="S49" s="31">
        <f>IF(AND(Cronograma!$F50&lt;=DATE(2027,10,31),Cronograma!$G50&gt;=DATE(2027,10,1)),1,0)</f>
        <v/>
      </c>
      <c r="T49" s="31">
        <f>IF(AND(Cronograma!$F50&lt;=DATE(2027,11,30),Cronograma!$G50&gt;=DATE(2027,11,1)),1,0)</f>
        <v/>
      </c>
      <c r="U49" s="31">
        <f>IF(AND(Cronograma!$F50&lt;=DATE(2027,12,31),Cronograma!$G50&gt;=DATE(2027,12,1)),1,0)</f>
        <v/>
      </c>
    </row>
    <row r="50" ht="15" customHeight="1">
      <c r="A50" s="8">
        <f>Cronograma!A51</f>
        <v/>
      </c>
      <c r="B50" s="40">
        <f>Cronograma!B51</f>
        <v/>
      </c>
      <c r="C50" s="28">
        <f>Cronograma!C51</f>
        <v/>
      </c>
      <c r="D50" s="29">
        <f>Cronograma!E51</f>
        <v/>
      </c>
      <c r="E50" s="31">
        <f>IF(AND(Cronograma!$F51&lt;=DATE(2026,8,31),Cronograma!$G51&gt;=DATE(2026,8,1)),1,0)</f>
        <v/>
      </c>
      <c r="F50" s="31">
        <f>IF(AND(Cronograma!$F51&lt;=DATE(2026,9,30),Cronograma!$G51&gt;=DATE(2026,9,1)),1,0)</f>
        <v/>
      </c>
      <c r="G50" s="31">
        <f>IF(AND(Cronograma!$F51&lt;=DATE(2026,10,31),Cronograma!$G51&gt;=DATE(2026,10,1)),1,0)</f>
        <v/>
      </c>
      <c r="H50" s="31">
        <f>IF(AND(Cronograma!$F51&lt;=DATE(2026,11,30),Cronograma!$G51&gt;=DATE(2026,11,1)),1,0)</f>
        <v/>
      </c>
      <c r="I50" s="31">
        <f>IF(AND(Cronograma!$F51&lt;=DATE(2026,12,31),Cronograma!$G51&gt;=DATE(2026,12,1)),1,0)</f>
        <v/>
      </c>
      <c r="J50" s="31">
        <f>IF(AND(Cronograma!$F51&lt;=DATE(2027,1,31),Cronograma!$G51&gt;=DATE(2027,1,1)),1,0)</f>
        <v/>
      </c>
      <c r="K50" s="31">
        <f>IF(AND(Cronograma!$F51&lt;=DATE(2027,2,28),Cronograma!$G51&gt;=DATE(2027,2,1)),1,0)</f>
        <v/>
      </c>
      <c r="L50" s="31">
        <f>IF(AND(Cronograma!$F51&lt;=DATE(2027,3,31),Cronograma!$G51&gt;=DATE(2027,3,1)),1,0)</f>
        <v/>
      </c>
      <c r="M50" s="31">
        <f>IF(AND(Cronograma!$F51&lt;=DATE(2027,4,30),Cronograma!$G51&gt;=DATE(2027,4,1)),1,0)</f>
        <v/>
      </c>
      <c r="N50" s="31">
        <f>IF(AND(Cronograma!$F51&lt;=DATE(2027,5,31),Cronograma!$G51&gt;=DATE(2027,5,1)),1,0)</f>
        <v/>
      </c>
      <c r="O50" s="31">
        <f>IF(AND(Cronograma!$F51&lt;=DATE(2027,6,30),Cronograma!$G51&gt;=DATE(2027,6,1)),1,0)</f>
        <v/>
      </c>
      <c r="P50" s="31">
        <f>IF(AND(Cronograma!$F51&lt;=DATE(2027,7,31),Cronograma!$G51&gt;=DATE(2027,7,1)),1,0)</f>
        <v/>
      </c>
      <c r="Q50" s="41">
        <f>IF(AND(Cronograma!$F51&lt;=DATE(2027,8,31),Cronograma!$G51&gt;=DATE(2027,8,1)),1,0)</f>
        <v/>
      </c>
      <c r="R50" s="41">
        <f>IF(AND(Cronograma!$F51&lt;=DATE(2027,9,30),Cronograma!$G51&gt;=DATE(2027,9,1)),1,0)</f>
        <v/>
      </c>
      <c r="S50" s="31">
        <f>IF(AND(Cronograma!$F51&lt;=DATE(2027,10,31),Cronograma!$G51&gt;=DATE(2027,10,1)),1,0)</f>
        <v/>
      </c>
      <c r="T50" s="31">
        <f>IF(AND(Cronograma!$F51&lt;=DATE(2027,11,30),Cronograma!$G51&gt;=DATE(2027,11,1)),1,0)</f>
        <v/>
      </c>
      <c r="U50" s="31">
        <f>IF(AND(Cronograma!$F51&lt;=DATE(2027,12,31),Cronograma!$G51&gt;=DATE(2027,12,1)),1,0)</f>
        <v/>
      </c>
    </row>
    <row r="51" ht="15" customHeight="1">
      <c r="A51" s="8">
        <f>Cronograma!A52</f>
        <v/>
      </c>
      <c r="B51" s="40">
        <f>Cronograma!B52</f>
        <v/>
      </c>
      <c r="C51" s="28">
        <f>Cronograma!C52</f>
        <v/>
      </c>
      <c r="D51" s="29">
        <f>Cronograma!E52</f>
        <v/>
      </c>
      <c r="E51" s="31">
        <f>IF(AND(Cronograma!$F52&lt;=DATE(2026,8,31),Cronograma!$G52&gt;=DATE(2026,8,1)),1,0)</f>
        <v/>
      </c>
      <c r="F51" s="31">
        <f>IF(AND(Cronograma!$F52&lt;=DATE(2026,9,30),Cronograma!$G52&gt;=DATE(2026,9,1)),1,0)</f>
        <v/>
      </c>
      <c r="G51" s="31">
        <f>IF(AND(Cronograma!$F52&lt;=DATE(2026,10,31),Cronograma!$G52&gt;=DATE(2026,10,1)),1,0)</f>
        <v/>
      </c>
      <c r="H51" s="31">
        <f>IF(AND(Cronograma!$F52&lt;=DATE(2026,11,30),Cronograma!$G52&gt;=DATE(2026,11,1)),1,0)</f>
        <v/>
      </c>
      <c r="I51" s="31">
        <f>IF(AND(Cronograma!$F52&lt;=DATE(2026,12,31),Cronograma!$G52&gt;=DATE(2026,12,1)),1,0)</f>
        <v/>
      </c>
      <c r="J51" s="31">
        <f>IF(AND(Cronograma!$F52&lt;=DATE(2027,1,31),Cronograma!$G52&gt;=DATE(2027,1,1)),1,0)</f>
        <v/>
      </c>
      <c r="K51" s="31">
        <f>IF(AND(Cronograma!$F52&lt;=DATE(2027,2,28),Cronograma!$G52&gt;=DATE(2027,2,1)),1,0)</f>
        <v/>
      </c>
      <c r="L51" s="31">
        <f>IF(AND(Cronograma!$F52&lt;=DATE(2027,3,31),Cronograma!$G52&gt;=DATE(2027,3,1)),1,0)</f>
        <v/>
      </c>
      <c r="M51" s="31">
        <f>IF(AND(Cronograma!$F52&lt;=DATE(2027,4,30),Cronograma!$G52&gt;=DATE(2027,4,1)),1,0)</f>
        <v/>
      </c>
      <c r="N51" s="31">
        <f>IF(AND(Cronograma!$F52&lt;=DATE(2027,5,31),Cronograma!$G52&gt;=DATE(2027,5,1)),1,0)</f>
        <v/>
      </c>
      <c r="O51" s="31">
        <f>IF(AND(Cronograma!$F52&lt;=DATE(2027,6,30),Cronograma!$G52&gt;=DATE(2027,6,1)),1,0)</f>
        <v/>
      </c>
      <c r="P51" s="31">
        <f>IF(AND(Cronograma!$F52&lt;=DATE(2027,7,31),Cronograma!$G52&gt;=DATE(2027,7,1)),1,0)</f>
        <v/>
      </c>
      <c r="Q51" s="31">
        <f>IF(AND(Cronograma!$F52&lt;=DATE(2027,8,31),Cronograma!$G52&gt;=DATE(2027,8,1)),1,0)</f>
        <v/>
      </c>
      <c r="R51" s="41">
        <f>IF(AND(Cronograma!$F52&lt;=DATE(2027,9,30),Cronograma!$G52&gt;=DATE(2027,9,1)),1,0)</f>
        <v/>
      </c>
      <c r="S51" s="41">
        <f>IF(AND(Cronograma!$F52&lt;=DATE(2027,10,31),Cronograma!$G52&gt;=DATE(2027,10,1)),1,0)</f>
        <v/>
      </c>
      <c r="T51" s="31">
        <f>IF(AND(Cronograma!$F52&lt;=DATE(2027,11,30),Cronograma!$G52&gt;=DATE(2027,11,1)),1,0)</f>
        <v/>
      </c>
      <c r="U51" s="31">
        <f>IF(AND(Cronograma!$F52&lt;=DATE(2027,12,31),Cronograma!$G52&gt;=DATE(2027,12,1)),1,0)</f>
        <v/>
      </c>
    </row>
    <row r="52" ht="15" customHeight="1">
      <c r="A52" s="8">
        <f>Cronograma!A53</f>
        <v/>
      </c>
      <c r="B52" s="40">
        <f>Cronograma!B53</f>
        <v/>
      </c>
      <c r="C52" s="28">
        <f>Cronograma!C53</f>
        <v/>
      </c>
      <c r="D52" s="29">
        <f>Cronograma!E53</f>
        <v/>
      </c>
      <c r="E52" s="31">
        <f>IF(AND(Cronograma!$F53&lt;=DATE(2026,8,31),Cronograma!$G53&gt;=DATE(2026,8,1)),1,0)</f>
        <v/>
      </c>
      <c r="F52" s="31">
        <f>IF(AND(Cronograma!$F53&lt;=DATE(2026,9,30),Cronograma!$G53&gt;=DATE(2026,9,1)),1,0)</f>
        <v/>
      </c>
      <c r="G52" s="31">
        <f>IF(AND(Cronograma!$F53&lt;=DATE(2026,10,31),Cronograma!$G53&gt;=DATE(2026,10,1)),1,0)</f>
        <v/>
      </c>
      <c r="H52" s="31">
        <f>IF(AND(Cronograma!$F53&lt;=DATE(2026,11,30),Cronograma!$G53&gt;=DATE(2026,11,1)),1,0)</f>
        <v/>
      </c>
      <c r="I52" s="31">
        <f>IF(AND(Cronograma!$F53&lt;=DATE(2026,12,31),Cronograma!$G53&gt;=DATE(2026,12,1)),1,0)</f>
        <v/>
      </c>
      <c r="J52" s="31">
        <f>IF(AND(Cronograma!$F53&lt;=DATE(2027,1,31),Cronograma!$G53&gt;=DATE(2027,1,1)),1,0)</f>
        <v/>
      </c>
      <c r="K52" s="31">
        <f>IF(AND(Cronograma!$F53&lt;=DATE(2027,2,28),Cronograma!$G53&gt;=DATE(2027,2,1)),1,0)</f>
        <v/>
      </c>
      <c r="L52" s="31">
        <f>IF(AND(Cronograma!$F53&lt;=DATE(2027,3,31),Cronograma!$G53&gt;=DATE(2027,3,1)),1,0)</f>
        <v/>
      </c>
      <c r="M52" s="31">
        <f>IF(AND(Cronograma!$F53&lt;=DATE(2027,4,30),Cronograma!$G53&gt;=DATE(2027,4,1)),1,0)</f>
        <v/>
      </c>
      <c r="N52" s="31">
        <f>IF(AND(Cronograma!$F53&lt;=DATE(2027,5,31),Cronograma!$G53&gt;=DATE(2027,5,1)),1,0)</f>
        <v/>
      </c>
      <c r="O52" s="31">
        <f>IF(AND(Cronograma!$F53&lt;=DATE(2027,6,30),Cronograma!$G53&gt;=DATE(2027,6,1)),1,0)</f>
        <v/>
      </c>
      <c r="P52" s="31">
        <f>IF(AND(Cronograma!$F53&lt;=DATE(2027,7,31),Cronograma!$G53&gt;=DATE(2027,7,1)),1,0)</f>
        <v/>
      </c>
      <c r="Q52" s="31">
        <f>IF(AND(Cronograma!$F53&lt;=DATE(2027,8,31),Cronograma!$G53&gt;=DATE(2027,8,1)),1,0)</f>
        <v/>
      </c>
      <c r="R52" s="31">
        <f>IF(AND(Cronograma!$F53&lt;=DATE(2027,9,30),Cronograma!$G53&gt;=DATE(2027,9,1)),1,0)</f>
        <v/>
      </c>
      <c r="S52" s="41">
        <f>IF(AND(Cronograma!$F53&lt;=DATE(2027,10,31),Cronograma!$G53&gt;=DATE(2027,10,1)),1,0)</f>
        <v/>
      </c>
      <c r="T52" s="41">
        <f>IF(AND(Cronograma!$F53&lt;=DATE(2027,11,30),Cronograma!$G53&gt;=DATE(2027,11,1)),1,0)</f>
        <v/>
      </c>
      <c r="U52" s="31">
        <f>IF(AND(Cronograma!$F53&lt;=DATE(2027,12,31),Cronograma!$G53&gt;=DATE(2027,12,1)),1,0)</f>
        <v/>
      </c>
    </row>
    <row r="53" ht="15" customHeight="1">
      <c r="A53" s="8">
        <f>Cronograma!A54</f>
        <v/>
      </c>
      <c r="B53" s="40">
        <f>Cronograma!B54</f>
        <v/>
      </c>
      <c r="C53" s="28">
        <f>Cronograma!C54</f>
        <v/>
      </c>
      <c r="D53" s="29">
        <f>Cronograma!E54</f>
        <v/>
      </c>
      <c r="E53" s="31">
        <f>IF(AND(Cronograma!$F54&lt;=DATE(2026,8,31),Cronograma!$G54&gt;=DATE(2026,8,1)),1,0)</f>
        <v/>
      </c>
      <c r="F53" s="31">
        <f>IF(AND(Cronograma!$F54&lt;=DATE(2026,9,30),Cronograma!$G54&gt;=DATE(2026,9,1)),1,0)</f>
        <v/>
      </c>
      <c r="G53" s="31">
        <f>IF(AND(Cronograma!$F54&lt;=DATE(2026,10,31),Cronograma!$G54&gt;=DATE(2026,10,1)),1,0)</f>
        <v/>
      </c>
      <c r="H53" s="31">
        <f>IF(AND(Cronograma!$F54&lt;=DATE(2026,11,30),Cronograma!$G54&gt;=DATE(2026,11,1)),1,0)</f>
        <v/>
      </c>
      <c r="I53" s="31">
        <f>IF(AND(Cronograma!$F54&lt;=DATE(2026,12,31),Cronograma!$G54&gt;=DATE(2026,12,1)),1,0)</f>
        <v/>
      </c>
      <c r="J53" s="31">
        <f>IF(AND(Cronograma!$F54&lt;=DATE(2027,1,31),Cronograma!$G54&gt;=DATE(2027,1,1)),1,0)</f>
        <v/>
      </c>
      <c r="K53" s="31">
        <f>IF(AND(Cronograma!$F54&lt;=DATE(2027,2,28),Cronograma!$G54&gt;=DATE(2027,2,1)),1,0)</f>
        <v/>
      </c>
      <c r="L53" s="31">
        <f>IF(AND(Cronograma!$F54&lt;=DATE(2027,3,31),Cronograma!$G54&gt;=DATE(2027,3,1)),1,0)</f>
        <v/>
      </c>
      <c r="M53" s="31">
        <f>IF(AND(Cronograma!$F54&lt;=DATE(2027,4,30),Cronograma!$G54&gt;=DATE(2027,4,1)),1,0)</f>
        <v/>
      </c>
      <c r="N53" s="31">
        <f>IF(AND(Cronograma!$F54&lt;=DATE(2027,5,31),Cronograma!$G54&gt;=DATE(2027,5,1)),1,0)</f>
        <v/>
      </c>
      <c r="O53" s="31">
        <f>IF(AND(Cronograma!$F54&lt;=DATE(2027,6,30),Cronograma!$G54&gt;=DATE(2027,6,1)),1,0)</f>
        <v/>
      </c>
      <c r="P53" s="31">
        <f>IF(AND(Cronograma!$F54&lt;=DATE(2027,7,31),Cronograma!$G54&gt;=DATE(2027,7,1)),1,0)</f>
        <v/>
      </c>
      <c r="Q53" s="31">
        <f>IF(AND(Cronograma!$F54&lt;=DATE(2027,8,31),Cronograma!$G54&gt;=DATE(2027,8,1)),1,0)</f>
        <v/>
      </c>
      <c r="R53" s="31">
        <f>IF(AND(Cronograma!$F54&lt;=DATE(2027,9,30),Cronograma!$G54&gt;=DATE(2027,9,1)),1,0)</f>
        <v/>
      </c>
      <c r="S53" s="31">
        <f>IF(AND(Cronograma!$F54&lt;=DATE(2027,10,31),Cronograma!$G54&gt;=DATE(2027,10,1)),1,0)</f>
        <v/>
      </c>
      <c r="T53" s="41">
        <f>IF(AND(Cronograma!$F54&lt;=DATE(2027,11,30),Cronograma!$G54&gt;=DATE(2027,11,1)),1,0)</f>
        <v/>
      </c>
      <c r="U53" s="41">
        <f>IF(AND(Cronograma!$F54&lt;=DATE(2027,12,31),Cronograma!$G54&gt;=DATE(2027,12,1)),1,0)</f>
        <v/>
      </c>
    </row>
    <row r="54" ht="15" customHeight="1">
      <c r="A54" s="8">
        <f>Cronograma!A55</f>
        <v/>
      </c>
      <c r="B54" s="40">
        <f>Cronograma!B55</f>
        <v/>
      </c>
      <c r="C54" s="28">
        <f>Cronograma!C55</f>
        <v/>
      </c>
      <c r="D54" s="29">
        <f>Cronograma!E55</f>
        <v/>
      </c>
      <c r="E54" s="31">
        <f>IF(AND(Cronograma!$F55&lt;=DATE(2026,8,31),Cronograma!$G55&gt;=DATE(2026,8,1)),1,0)</f>
        <v/>
      </c>
      <c r="F54" s="31">
        <f>IF(AND(Cronograma!$F55&lt;=DATE(2026,9,30),Cronograma!$G55&gt;=DATE(2026,9,1)),1,0)</f>
        <v/>
      </c>
      <c r="G54" s="31">
        <f>IF(AND(Cronograma!$F55&lt;=DATE(2026,10,31),Cronograma!$G55&gt;=DATE(2026,10,1)),1,0)</f>
        <v/>
      </c>
      <c r="H54" s="31">
        <f>IF(AND(Cronograma!$F55&lt;=DATE(2026,11,30),Cronograma!$G55&gt;=DATE(2026,11,1)),1,0)</f>
        <v/>
      </c>
      <c r="I54" s="31">
        <f>IF(AND(Cronograma!$F55&lt;=DATE(2026,12,31),Cronograma!$G55&gt;=DATE(2026,12,1)),1,0)</f>
        <v/>
      </c>
      <c r="J54" s="31">
        <f>IF(AND(Cronograma!$F55&lt;=DATE(2027,1,31),Cronograma!$G55&gt;=DATE(2027,1,1)),1,0)</f>
        <v/>
      </c>
      <c r="K54" s="31">
        <f>IF(AND(Cronograma!$F55&lt;=DATE(2027,2,28),Cronograma!$G55&gt;=DATE(2027,2,1)),1,0)</f>
        <v/>
      </c>
      <c r="L54" s="31">
        <f>IF(AND(Cronograma!$F55&lt;=DATE(2027,3,31),Cronograma!$G55&gt;=DATE(2027,3,1)),1,0)</f>
        <v/>
      </c>
      <c r="M54" s="31">
        <f>IF(AND(Cronograma!$F55&lt;=DATE(2027,4,30),Cronograma!$G55&gt;=DATE(2027,4,1)),1,0)</f>
        <v/>
      </c>
      <c r="N54" s="31">
        <f>IF(AND(Cronograma!$F55&lt;=DATE(2027,5,31),Cronograma!$G55&gt;=DATE(2027,5,1)),1,0)</f>
        <v/>
      </c>
      <c r="O54" s="31">
        <f>IF(AND(Cronograma!$F55&lt;=DATE(2027,6,30),Cronograma!$G55&gt;=DATE(2027,6,1)),1,0)</f>
        <v/>
      </c>
      <c r="P54" s="31">
        <f>IF(AND(Cronograma!$F55&lt;=DATE(2027,7,31),Cronograma!$G55&gt;=DATE(2027,7,1)),1,0)</f>
        <v/>
      </c>
      <c r="Q54" s="31">
        <f>IF(AND(Cronograma!$F55&lt;=DATE(2027,8,31),Cronograma!$G55&gt;=DATE(2027,8,1)),1,0)</f>
        <v/>
      </c>
      <c r="R54" s="31">
        <f>IF(AND(Cronograma!$F55&lt;=DATE(2027,9,30),Cronograma!$G55&gt;=DATE(2027,9,1)),1,0)</f>
        <v/>
      </c>
      <c r="S54" s="31">
        <f>IF(AND(Cronograma!$F55&lt;=DATE(2027,10,31),Cronograma!$G55&gt;=DATE(2027,10,1)),1,0)</f>
        <v/>
      </c>
      <c r="T54" s="31">
        <f>IF(AND(Cronograma!$F55&lt;=DATE(2027,11,30),Cronograma!$G55&gt;=DATE(2027,11,1)),1,0)</f>
        <v/>
      </c>
      <c r="U54" s="41">
        <f>IF(AND(Cronograma!$F55&lt;=DATE(2027,12,31),Cronograma!$G55&gt;=DATE(2027,12,1)),1,0)</f>
        <v/>
      </c>
    </row>
    <row r="55" ht="15" customHeight="1">
      <c r="A55" s="8">
        <f>Cronograma!A56</f>
        <v/>
      </c>
      <c r="B55" s="42">
        <f>Cronograma!B56</f>
        <v/>
      </c>
      <c r="C55" s="28">
        <f>Cronograma!C56</f>
        <v/>
      </c>
      <c r="D55" s="29">
        <f>Cronograma!E56</f>
        <v/>
      </c>
      <c r="E55" s="31">
        <f>IF(AND(Cronograma!$F56&lt;=DATE(2026,8,31),Cronograma!$G56&gt;=DATE(2026,8,1)),1,0)</f>
        <v/>
      </c>
      <c r="F55" s="31">
        <f>IF(AND(Cronograma!$F56&lt;=DATE(2026,9,30),Cronograma!$G56&gt;=DATE(2026,9,1)),1,0)</f>
        <v/>
      </c>
      <c r="G55" s="31">
        <f>IF(AND(Cronograma!$F56&lt;=DATE(2026,10,31),Cronograma!$G56&gt;=DATE(2026,10,1)),1,0)</f>
        <v/>
      </c>
      <c r="H55" s="31">
        <f>IF(AND(Cronograma!$F56&lt;=DATE(2026,11,30),Cronograma!$G56&gt;=DATE(2026,11,1)),1,0)</f>
        <v/>
      </c>
      <c r="I55" s="31">
        <f>IF(AND(Cronograma!$F56&lt;=DATE(2026,12,31),Cronograma!$G56&gt;=DATE(2026,12,1)),1,0)</f>
        <v/>
      </c>
      <c r="J55" s="31">
        <f>IF(AND(Cronograma!$F56&lt;=DATE(2027,1,31),Cronograma!$G56&gt;=DATE(2027,1,1)),1,0)</f>
        <v/>
      </c>
      <c r="K55" s="31">
        <f>IF(AND(Cronograma!$F56&lt;=DATE(2027,2,28),Cronograma!$G56&gt;=DATE(2027,2,1)),1,0)</f>
        <v/>
      </c>
      <c r="L55" s="31">
        <f>IF(AND(Cronograma!$F56&lt;=DATE(2027,3,31),Cronograma!$G56&gt;=DATE(2027,3,1)),1,0)</f>
        <v/>
      </c>
      <c r="M55" s="31">
        <f>IF(AND(Cronograma!$F56&lt;=DATE(2027,4,30),Cronograma!$G56&gt;=DATE(2027,4,1)),1,0)</f>
        <v/>
      </c>
      <c r="N55" s="31">
        <f>IF(AND(Cronograma!$F56&lt;=DATE(2027,5,31),Cronograma!$G56&gt;=DATE(2027,5,1)),1,0)</f>
        <v/>
      </c>
      <c r="O55" s="31">
        <f>IF(AND(Cronograma!$F56&lt;=DATE(2027,6,30),Cronograma!$G56&gt;=DATE(2027,6,1)),1,0)</f>
        <v/>
      </c>
      <c r="P55" s="31">
        <f>IF(AND(Cronograma!$F56&lt;=DATE(2027,7,31),Cronograma!$G56&gt;=DATE(2027,7,1)),1,0)</f>
        <v/>
      </c>
      <c r="Q55" s="31">
        <f>IF(AND(Cronograma!$F56&lt;=DATE(2027,8,31),Cronograma!$G56&gt;=DATE(2027,8,1)),1,0)</f>
        <v/>
      </c>
      <c r="R55" s="31">
        <f>IF(AND(Cronograma!$F56&lt;=DATE(2027,9,30),Cronograma!$G56&gt;=DATE(2027,9,1)),1,0)</f>
        <v/>
      </c>
      <c r="S55" s="31">
        <f>IF(AND(Cronograma!$F56&lt;=DATE(2027,10,31),Cronograma!$G56&gt;=DATE(2027,10,1)),1,0)</f>
        <v/>
      </c>
      <c r="T55" s="31">
        <f>IF(AND(Cronograma!$F56&lt;=DATE(2027,11,30),Cronograma!$G56&gt;=DATE(2027,11,1)),1,0)</f>
        <v/>
      </c>
      <c r="U55" s="31">
        <f>IF(AND(Cronograma!$F56&lt;=DATE(2027,12,31),Cronograma!$G56&gt;=DATE(2027,12,1)),1,0)</f>
        <v/>
      </c>
    </row>
  </sheetData>
  <mergeCells count="1">
    <mergeCell ref="A1:D1"/>
  </mergeCells>
  <conditionalFormatting sqref="E4:U15">
    <cfRule type="expression" priority="2" dxfId="6">
      <formula>E4=1</formula>
    </cfRule>
  </conditionalFormatting>
  <conditionalFormatting sqref="E16:U33">
    <cfRule type="expression" priority="14" dxfId="5">
      <formula>E16=1</formula>
    </cfRule>
  </conditionalFormatting>
  <conditionalFormatting sqref="E34:U37">
    <cfRule type="expression" priority="32" dxfId="4">
      <formula>E34=1</formula>
    </cfRule>
  </conditionalFormatting>
  <conditionalFormatting sqref="E38:U40">
    <cfRule type="expression" priority="36" dxfId="3">
      <formula>E38=1</formula>
    </cfRule>
  </conditionalFormatting>
  <conditionalFormatting sqref="E41:U47">
    <cfRule type="expression" priority="39" dxfId="2">
      <formula>E41=1</formula>
    </cfRule>
  </conditionalFormatting>
  <conditionalFormatting sqref="E48:U54">
    <cfRule type="expression" priority="46" dxfId="1">
      <formula>E48=1</formula>
    </cfRule>
  </conditionalFormatting>
  <conditionalFormatting sqref="E55:U55">
    <cfRule type="expression" priority="53" dxfId="0">
      <formula>E55=1</formula>
    </cfRule>
  </conditionalFormatting>
  <pageMargins left="0.75" right="0.75" top="1" bottom="1" header="0.511811023622047" footer="0.511811023622047"/>
  <pageSetup orientation="landscape" fitToHeight="0" fitToWidth="2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2026-08-17T22:41:27Z</dcterms:created>
  <dcterms:modified xmlns:dcterms="http://purl.org/dc/terms/" xmlns:xsi="http://www.w3.org/2001/XMLSchema-instance" xsi:type="dcterms:W3CDTF">2026-08-19T15:04:02Z</dcterms:modified>
  <cp:lastModifiedBy>Oscar Nuñez Vargas</cp:lastModifiedBy>
  <cp:revision>0</cp:revision>
</cp:coreProperties>
</file>